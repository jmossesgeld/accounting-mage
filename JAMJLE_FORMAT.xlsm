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SLSP JAMJLE\"/>
    </mc:Choice>
  </mc:AlternateContent>
  <xr:revisionPtr revIDLastSave="0" documentId="13_ncr:1_{39ACFE66-3FFD-4F24-9EA1-69500741CE74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MAIN" sheetId="2" r:id="rId1"/>
    <sheet name="DATA" sheetId="1" r:id="rId2"/>
    <sheet name="RULES!" sheetId="3" r:id="rId3"/>
  </sheets>
  <calcPr calcId="191029"/>
</workbook>
</file>

<file path=xl/calcChain.xml><?xml version="1.0" encoding="utf-8"?>
<calcChain xmlns="http://schemas.openxmlformats.org/spreadsheetml/2006/main">
  <c r="B26" i="2" l="1"/>
  <c r="K2" i="1"/>
  <c r="M2" i="1" s="1"/>
  <c r="K3" i="1"/>
  <c r="M3" i="1" s="1"/>
  <c r="K4" i="1"/>
  <c r="K5" i="1"/>
  <c r="M5" i="1" s="1"/>
  <c r="K6" i="1"/>
  <c r="K7" i="1"/>
  <c r="M7" i="1" s="1"/>
  <c r="K8" i="1"/>
  <c r="K9" i="1"/>
  <c r="M9" i="1" s="1"/>
  <c r="K10" i="1"/>
  <c r="K11" i="1"/>
  <c r="M11" i="1" s="1"/>
  <c r="K12" i="1"/>
  <c r="K13" i="1"/>
  <c r="M13" i="1" s="1"/>
  <c r="K14" i="1"/>
  <c r="M14" i="1" s="1"/>
  <c r="K15" i="1"/>
  <c r="M15" i="1" s="1"/>
  <c r="K16" i="1"/>
  <c r="K17" i="1"/>
  <c r="M17" i="1" s="1"/>
  <c r="K18" i="1"/>
  <c r="K19" i="1"/>
  <c r="M19" i="1" s="1"/>
  <c r="K20" i="1"/>
  <c r="K21" i="1"/>
  <c r="M21" i="1" s="1"/>
  <c r="K22" i="1"/>
  <c r="M22" i="1" s="1"/>
  <c r="K23" i="1"/>
  <c r="K24" i="1"/>
  <c r="K25" i="1"/>
  <c r="M25" i="1" s="1"/>
  <c r="K26" i="1"/>
  <c r="K27" i="1"/>
  <c r="M27" i="1" s="1"/>
  <c r="K28" i="1"/>
  <c r="K29" i="1"/>
  <c r="M29" i="1" s="1"/>
  <c r="K30" i="1"/>
  <c r="K31" i="1"/>
  <c r="M31" i="1" s="1"/>
  <c r="K32" i="1"/>
  <c r="K33" i="1"/>
  <c r="M33" i="1" s="1"/>
  <c r="K34" i="1"/>
  <c r="M34" i="1" s="1"/>
  <c r="K35" i="1"/>
  <c r="M35" i="1" s="1"/>
  <c r="K36" i="1"/>
  <c r="K37" i="1"/>
  <c r="M37" i="1" s="1"/>
  <c r="K38" i="1"/>
  <c r="K39" i="1"/>
  <c r="M39" i="1" s="1"/>
  <c r="K40" i="1"/>
  <c r="K41" i="1"/>
  <c r="M41" i="1" s="1"/>
  <c r="K42" i="1"/>
  <c r="M42" i="1" s="1"/>
  <c r="K43" i="1"/>
  <c r="M43" i="1" s="1"/>
  <c r="K44" i="1"/>
  <c r="K45" i="1"/>
  <c r="M45" i="1" s="1"/>
  <c r="K46" i="1"/>
  <c r="M46" i="1" s="1"/>
  <c r="K47" i="1"/>
  <c r="M47" i="1" s="1"/>
  <c r="K48" i="1"/>
  <c r="K49" i="1"/>
  <c r="M49" i="1" s="1"/>
  <c r="K50" i="1"/>
  <c r="K51" i="1"/>
  <c r="M51" i="1" s="1"/>
  <c r="K52" i="1"/>
  <c r="K53" i="1"/>
  <c r="M53" i="1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M10" i="1"/>
  <c r="M23" i="1"/>
  <c r="M40" i="1" l="1"/>
  <c r="M24" i="1"/>
  <c r="M8" i="1"/>
  <c r="M50" i="1"/>
  <c r="M38" i="1"/>
  <c r="M30" i="1"/>
  <c r="M26" i="1"/>
  <c r="M18" i="1"/>
  <c r="M6" i="1"/>
  <c r="M44" i="1"/>
  <c r="M28" i="1"/>
  <c r="M12" i="1"/>
  <c r="M52" i="1"/>
  <c r="M48" i="1"/>
  <c r="M36" i="1"/>
  <c r="M32" i="1"/>
  <c r="M20" i="1"/>
  <c r="M16" i="1"/>
  <c r="M4" i="1"/>
  <c r="B22" i="2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<sst xmlns="http://schemas.openxmlformats.org/spreadsheetml/2006/main" count="415" uniqueCount="191">
  <si>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</si>
  <si>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</si>
  <si>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</si>
  <si>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</si>
  <si>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</si>
  <si>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</si>
  <si>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</si>
  <si>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</si>
  <si>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</si>
  <si>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</si>
  <si>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</si>
  <si>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</si>
  <si>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TaxPayer TIN</t>
  </si>
  <si>
    <t>Corporate Name</t>
  </si>
  <si>
    <t>Last Name</t>
  </si>
  <si>
    <t>First Name</t>
  </si>
  <si>
    <t>Middle Name</t>
  </si>
  <si>
    <t>Trade Name</t>
  </si>
  <si>
    <t>Address1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</si>
  <si>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</si>
  <si>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</si>
  <si>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</si>
  <si>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</si>
  <si>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</si>
  <si>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</si>
  <si>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</si>
  <si>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</si>
  <si>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</si>
  <si>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</si>
  <si>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</si>
  <si>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</si>
  <si>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</si>
  <si>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</si>
  <si>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</si>
  <si>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</si>
  <si>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</si>
  <si>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MAIN and DATA sheets</t>
    </r>
  </si>
  <si>
    <t>3.)</t>
  </si>
  <si>
    <t>JAMJLE PROPERTIES SUBIC AND DEVELOPMENT CORP</t>
  </si>
  <si>
    <t>PORTION OF BLDG 5163 ARGONAUT HIGHWAY KALAYAAN</t>
  </si>
  <si>
    <t>SUBIC BAY FREEPORT ZONE SUBIC 2200</t>
  </si>
  <si>
    <t>MRY AUTO SUPPLY</t>
  </si>
  <si>
    <t>MANILA NORTH TOLLWAYS</t>
  </si>
  <si>
    <t>Planet Gas Refilling Station</t>
  </si>
  <si>
    <t>1 Petrol Corporation</t>
  </si>
  <si>
    <t>Uno Fuel Incorporated</t>
  </si>
  <si>
    <t>Crown Ace Hardware</t>
  </si>
  <si>
    <t>x</t>
  </si>
  <si>
    <t>Olongapo City</t>
  </si>
  <si>
    <t>bataan</t>
  </si>
  <si>
    <t>ZERORATED</t>
  </si>
  <si>
    <t>-</t>
  </si>
  <si>
    <t>009-660-527</t>
  </si>
  <si>
    <t>004-984-946</t>
  </si>
  <si>
    <t>448-438-456</t>
  </si>
  <si>
    <t>205-214-184</t>
  </si>
  <si>
    <t>009-872-814</t>
  </si>
  <si>
    <t>147-634-230</t>
  </si>
  <si>
    <t>4.)</t>
  </si>
  <si>
    <t>TIN number should be formatted as 000-000-000</t>
  </si>
  <si>
    <t>145-716-945</t>
  </si>
  <si>
    <t>BSC Emission Testing Center-Olongapo</t>
  </si>
  <si>
    <t>103-310-610</t>
  </si>
  <si>
    <t>291-414-905</t>
  </si>
  <si>
    <t>401-635-644</t>
  </si>
  <si>
    <t>007-556-025</t>
  </si>
  <si>
    <t>007-419-421</t>
  </si>
  <si>
    <t>161-623-593</t>
  </si>
  <si>
    <t>BACON MARKETING</t>
  </si>
  <si>
    <t>Ho Tee Hee</t>
  </si>
  <si>
    <t>BG ROSEL TRADING CORPORATION</t>
  </si>
  <si>
    <t>Daniel Danica Gas Station</t>
  </si>
  <si>
    <t>X</t>
  </si>
  <si>
    <t>mariveles</t>
  </si>
  <si>
    <t>000-388-711</t>
  </si>
  <si>
    <t>007-738-851</t>
  </si>
  <si>
    <t>233-377-398</t>
  </si>
  <si>
    <t>Jollibee Subic Town</t>
  </si>
  <si>
    <t>DBF Auto Supply</t>
  </si>
  <si>
    <t>BATAAN</t>
  </si>
  <si>
    <t>In DATA sheet, there should never be a BLANK row because any records following the blank row will not be included in the DAT file.</t>
  </si>
  <si>
    <t>The Exempt, ZeroRated, Services, CapitalGoods, Goods columns in the DATA sheet should not be blank. For zero transaction, enter "0".</t>
  </si>
  <si>
    <t>000-168-801</t>
  </si>
  <si>
    <t>000-299-299</t>
  </si>
  <si>
    <t>004-503-896</t>
  </si>
  <si>
    <t>007-237-376</t>
  </si>
  <si>
    <t>102-681-698</t>
  </si>
  <si>
    <t>165-585-024</t>
  </si>
  <si>
    <t>181-227-555</t>
  </si>
  <si>
    <t>196-488-471</t>
  </si>
  <si>
    <t>208-084-265</t>
  </si>
  <si>
    <t>269-067-199</t>
  </si>
  <si>
    <t>765-164-896</t>
  </si>
  <si>
    <t>Petron Corporation</t>
  </si>
  <si>
    <t>National Book Store</t>
  </si>
  <si>
    <t>RODRIGUEZ PETRON SERVICE CENTER</t>
  </si>
  <si>
    <t>MACKI TRADING</t>
  </si>
  <si>
    <t>Stanhope Marketing</t>
  </si>
  <si>
    <t>GrandPoint General Merchandise</t>
  </si>
  <si>
    <t>Goodship Hardware</t>
  </si>
  <si>
    <t>IGB GRAND PHOENEX OPC</t>
  </si>
  <si>
    <t>1933 NATIONAL HIGHWAY</t>
  </si>
  <si>
    <t>Km 12 NLEX Compound Balintawak Caloocan City</t>
  </si>
  <si>
    <t>Bataan Philippines</t>
  </si>
  <si>
    <t>Mariveles Bataan Philippines</t>
  </si>
  <si>
    <t>Olongapo City Philippines</t>
  </si>
  <si>
    <t>National Highway Baloy Beach Barretto Olongapo City</t>
  </si>
  <si>
    <t>Salian Abucay Bataan</t>
  </si>
  <si>
    <t>2738 Rizal Avenue East Bajac-Bajac Olongapo City Philippines</t>
  </si>
  <si>
    <t>National Rd Brgy Baraca Subic Town</t>
  </si>
  <si>
    <t>TWA INC</t>
  </si>
  <si>
    <t>IPRO INC</t>
  </si>
  <si>
    <t>Bataan Freeway Center Point Inc</t>
  </si>
  <si>
    <t>18 National Hi-way Bo Barretto Olongapo City</t>
  </si>
  <si>
    <t>SC De Leon Hardware and Lumber</t>
  </si>
  <si>
    <t>Dunkin Donuts</t>
  </si>
  <si>
    <t>Three Js Hardware and Const Supply and Gen MDSE</t>
  </si>
  <si>
    <t>5 OLIVEROS DRIVE UNIT 3 BRGY APOLONIO SAMSON BALINTAWAK QUEZON CITY  1106Philippines</t>
  </si>
  <si>
    <t>5 21st St East Bajac-Bajac Olongapo City</t>
  </si>
  <si>
    <t>000-297-541</t>
  </si>
  <si>
    <t>001-034-494</t>
  </si>
  <si>
    <t>004-851-083</t>
  </si>
  <si>
    <t>006-608-711</t>
  </si>
  <si>
    <t>007-173-239</t>
  </si>
  <si>
    <t>007-879-273</t>
  </si>
  <si>
    <t>008-649-148</t>
  </si>
  <si>
    <t>008-746-828</t>
  </si>
  <si>
    <t>008-752-180</t>
  </si>
  <si>
    <t>009-044-447</t>
  </si>
  <si>
    <t>009-330-452</t>
  </si>
  <si>
    <t>102-217-963</t>
  </si>
  <si>
    <t>102-680-558</t>
  </si>
  <si>
    <t>102-681-149</t>
  </si>
  <si>
    <t>102-773-185</t>
  </si>
  <si>
    <t>132-430-990</t>
  </si>
  <si>
    <t>142-222-413</t>
  </si>
  <si>
    <t>179-802-208</t>
  </si>
  <si>
    <t>195-410-623</t>
  </si>
  <si>
    <t>207-961-175</t>
  </si>
  <si>
    <t>211-303-619</t>
  </si>
  <si>
    <t>240-207-470</t>
  </si>
  <si>
    <t>243-686-001</t>
  </si>
  <si>
    <t>449-605-638</t>
  </si>
  <si>
    <t>909-641-942</t>
  </si>
  <si>
    <t>METAL MASTER</t>
  </si>
  <si>
    <t>SUN PRINCE</t>
  </si>
  <si>
    <t>Donum Industrial Corporation</t>
  </si>
  <si>
    <t>Philippine Skybird Industrial Corporation</t>
  </si>
  <si>
    <t>JOLLIBEE 9TH AVE</t>
  </si>
  <si>
    <t>Nordsmaire General Merchandise</t>
  </si>
  <si>
    <t>NEW SHELL MARINA SERVICE STATION</t>
  </si>
  <si>
    <t>7-ELEVEN DINALUPIHAN</t>
  </si>
  <si>
    <t>RTL Auto Parts Trading</t>
  </si>
  <si>
    <t>Savemore market</t>
  </si>
  <si>
    <t>Ray-Neth Construction Supply</t>
  </si>
  <si>
    <t>JOLLIBEE</t>
  </si>
  <si>
    <t>ARCEN Pain Center</t>
  </si>
  <si>
    <t>caloocan city</t>
  </si>
  <si>
    <t>CALOOCAN CITY</t>
  </si>
  <si>
    <t>9TH AVE COR RIZAL AVE CALOOCAN CITY</t>
  </si>
  <si>
    <t>Mariveles Bataan</t>
  </si>
  <si>
    <t>Dinalupihan Bataan</t>
  </si>
  <si>
    <t>ANMAR LUMBER and HARDWARE</t>
  </si>
  <si>
    <t>EBB Tire Center and Services</t>
  </si>
  <si>
    <t>BGB Gen Mdse and Construction Supply</t>
  </si>
  <si>
    <t>Mansion Hardware and General Merchandise</t>
  </si>
  <si>
    <t>Samco Bolts and Nuts Center</t>
  </si>
  <si>
    <t>San Juan Castillejos Zambales</t>
  </si>
  <si>
    <t>Taytay Rizal</t>
  </si>
  <si>
    <t>2631 Rizal Avenue West Bajac Bajac Olongapo City</t>
  </si>
  <si>
    <t>Manila Philippines</t>
  </si>
  <si>
    <t>National Hiway Barretto Olongapo City</t>
  </si>
  <si>
    <t>Brgy San Isidro Taytay Rizal</t>
  </si>
  <si>
    <t>Agra Gas Industrial Company Inc</t>
  </si>
  <si>
    <t>QSJ Motors Phils Inc</t>
  </si>
  <si>
    <t>Rizal Extension Brgy Cutcut Angeles City Pampanga</t>
  </si>
  <si>
    <t>HINO PAMPANGA008-649-148-000JOSE ABAD SANTOS AVE CITY OF SAN FERNANDO</t>
  </si>
  <si>
    <t>JOSE ABAD SANTOS AVE CITY OF SAN FERNANDO</t>
  </si>
  <si>
    <t>Imart General Merchandise Inc</t>
  </si>
  <si>
    <t>A BONIFACIO PAG IBIG SA NAYON BALINTAWAK QC</t>
  </si>
  <si>
    <t>33 P Burgos St Brgy 065 Caloocan City</t>
  </si>
  <si>
    <t>MCARTHUR HIWAY COR SAN JACINTO ST ANGELES PAMPANGA</t>
  </si>
  <si>
    <t>Andoks</t>
  </si>
  <si>
    <t>JEs Auto Supply</t>
  </si>
  <si>
    <t>Foton A BonifacioBalintawak</t>
  </si>
  <si>
    <t>3 Arthur West Bajac-Bajac Olongapo City</t>
  </si>
  <si>
    <t>Number of Records</t>
  </si>
  <si>
    <t>CAPITAL LETTERS ONLY</t>
  </si>
  <si>
    <t>5.)</t>
  </si>
  <si>
    <t>ONLY ENTER CAPITAL LETTERS</t>
  </si>
  <si>
    <t>end of month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</si>
</sst>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00000000"/>
    <numFmt numFmtId="165" formatCode="mm/dd/yyyy"/>
    <numFmt numFmtId="166" formatCode="000\-000\-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/>
    </xf>
    <xf numFmtId="166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165" fontId="9" fillId="5" borderId="4" xfId="10" applyNumberFormat="1" applyAlignment="1" applyProtection="1">
      <alignment horizontal="left"/>
      <protection locked="0"/>
    </xf>
    <xf numFmtId="43" fontId="10" fillId="6" borderId="5" xfId="11" applyNumberFormat="1" applyAlignment="1">
      <alignment horizontal="left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24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6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123825</xdr:rowOff>
        </xdr:from>
        <xdr:to>
          <xdr:col>5</xdr:col>
          <xdr:colOff>1419225</xdr:colOff>
          <xdr:row>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53" totalsRowShown="0" headerRowDxfId="9" dataDxfId="7" headerRowBorderDxfId="8" headerRowCellStyle="Comma" dataCellStyle="Comma">
  <autoFilter ref="A1:M53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/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/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tabSelected="1" zoomScale="130" zoomScaleNormal="130" workbookViewId="0">
      <selection activeCell="D19" sqref="D19"/>
    </sheetView>
  </sheetViews>
  <sheetFormatPr defaultRowHeight="15" x14ac:dyDescent="0.25"/>
  <cols>
    <col min="1" max="1" width="29.140625" customWidth="1"/>
    <col min="2" max="2" width="23.7109375" customWidth="1"/>
    <col min="3" max="5" width="14.5703125" customWidth="1"/>
    <col min="6" max="8" width="29.42578125" customWidth="1"/>
    <col min="9" max="9" width="13.28515625" bestFit="1" customWidth="1"/>
    <col min="10" max="10" width="12" bestFit="1" customWidth="1"/>
    <col min="11" max="11" width="10.5703125" bestFit="1" customWidth="1"/>
    <col min="12" max="12" width="15.28515625" bestFit="1" customWidth="1"/>
    <col min="13" max="13" width="14.28515625" bestFit="1" customWidth="1"/>
    <col min="14" max="14" width="13.28515625" bestFit="1" customWidth="1"/>
    <col min="15" max="15" width="17.5703125" bestFit="1" customWidth="1"/>
    <col min="16" max="16" width="16.28515625" bestFit="1" customWidth="1"/>
    <col min="17" max="17" width="10.140625" bestFit="1" customWidth="1"/>
    <col min="18" max="18" width="9.7109375" bestFit="1" customWidth="1"/>
    <col min="19" max="19" width="10.42578125" bestFit="1" customWidth="1"/>
  </cols>
  <sheetData>
    <row r="1" spans="1:6" x14ac:dyDescent="0.25">
      <c r="A1" s="8" t="s">
        <v>32</v>
      </c>
      <c r="B1" s="9">
        <v>19</v>
      </c>
    </row>
    <row r="2" spans="1:6" x14ac:dyDescent="0.25">
      <c r="A2" s="8" t="s">
        <v>28</v>
      </c>
      <c r="B2" s="20">
        <v>44255</v>
      </c>
      <c r="C2" s="24" t="s">
        <v>190</v>
      </c>
    </row>
    <row r="3" spans="1:6" x14ac:dyDescent="0.25">
      <c r="A3" s="8" t="s">
        <v>29</v>
      </c>
      <c r="B3" s="9">
        <v>12</v>
      </c>
    </row>
    <row r="4" spans="1:6" x14ac:dyDescent="0.25">
      <c r="B4" s="3"/>
    </row>
    <row r="5" spans="1:6" x14ac:dyDescent="0.25">
      <c r="A5" s="2"/>
      <c r="B5" s="3"/>
      <c r="C5" s="4"/>
      <c r="D5" s="4"/>
      <c r="E5" s="4"/>
      <c r="F5" s="4"/>
    </row>
    <row r="6" spans="1:6" x14ac:dyDescent="0.25">
      <c r="A6" s="7" t="s">
        <v>30</v>
      </c>
      <c r="B6" s="24" t="s">
        <v>187</v>
      </c>
      <c r="C6" s="4"/>
      <c r="D6" s="4"/>
      <c r="E6" s="4"/>
      <c r="F6" s="4"/>
    </row>
    <row r="7" spans="1:6" x14ac:dyDescent="0.25">
      <c r="A7" s="2" t="s">
        <v>12</v>
      </c>
      <c r="B7" s="10">
        <v>6722281</v>
      </c>
      <c r="C7" s="5"/>
      <c r="D7" s="5"/>
      <c r="E7" s="5"/>
      <c r="F7" s="6"/>
    </row>
    <row r="8" spans="1:6" x14ac:dyDescent="0.25">
      <c r="A8" s="2" t="s">
        <v>13</v>
      </c>
      <c r="B8" s="13" t="s">
        <v>38</v>
      </c>
      <c r="C8" s="5"/>
      <c r="D8" s="5"/>
      <c r="E8" s="5"/>
      <c r="F8" s="6"/>
    </row>
    <row r="9" spans="1:6" x14ac:dyDescent="0.25">
      <c r="A9" s="2" t="s">
        <v>14</v>
      </c>
      <c r="B9" s="11"/>
      <c r="C9" s="5"/>
      <c r="D9" s="5"/>
      <c r="E9" s="5"/>
      <c r="F9" s="6"/>
    </row>
    <row r="10" spans="1:6" x14ac:dyDescent="0.25">
      <c r="A10" s="2" t="s">
        <v>15</v>
      </c>
      <c r="B10" s="11"/>
      <c r="C10" s="5"/>
      <c r="D10" s="5"/>
      <c r="E10" s="5"/>
      <c r="F10" s="6"/>
    </row>
    <row r="11" spans="1:6" x14ac:dyDescent="0.25">
      <c r="A11" s="2" t="s">
        <v>16</v>
      </c>
      <c r="B11" s="12"/>
      <c r="C11" s="5"/>
      <c r="D11" s="5"/>
      <c r="E11" s="5"/>
      <c r="F11" s="6"/>
    </row>
    <row r="12" spans="1:6" x14ac:dyDescent="0.25">
      <c r="A12" s="2" t="s">
        <v>17</v>
      </c>
      <c r="B12" s="12" t="s">
        <v>38</v>
      </c>
      <c r="C12" s="5"/>
      <c r="D12" s="5"/>
      <c r="E12" s="5"/>
      <c r="F12" s="6"/>
    </row>
    <row r="13" spans="1:6" x14ac:dyDescent="0.25">
      <c r="A13" s="2" t="s">
        <v>18</v>
      </c>
      <c r="B13" s="12" t="s">
        <v>39</v>
      </c>
      <c r="C13" s="5"/>
      <c r="D13" s="5"/>
      <c r="E13" s="5"/>
      <c r="F13" s="6"/>
    </row>
    <row r="14" spans="1:6" x14ac:dyDescent="0.25">
      <c r="A14" s="2" t="s">
        <v>19</v>
      </c>
      <c r="B14" s="12" t="s">
        <v>40</v>
      </c>
      <c r="C14" s="5"/>
      <c r="D14" s="5"/>
      <c r="E14" s="5"/>
      <c r="F14" s="6"/>
    </row>
    <row r="15" spans="1:6" x14ac:dyDescent="0.25">
      <c r="A15" s="2"/>
      <c r="B15" s="3"/>
      <c r="C15" s="4"/>
      <c r="D15" s="4"/>
      <c r="E15" s="4"/>
      <c r="F15" s="4"/>
    </row>
    <row r="16" spans="1:6" x14ac:dyDescent="0.25">
      <c r="A16" s="2"/>
      <c r="B16" s="3"/>
      <c r="C16" s="4"/>
      <c r="D16" s="4"/>
      <c r="E16" s="4"/>
      <c r="F16" s="4"/>
    </row>
    <row r="17" spans="1:6" x14ac:dyDescent="0.25">
      <c r="A17" s="7" t="s">
        <v>31</v>
      </c>
      <c r="B17" s="3"/>
      <c r="C17" s="4"/>
      <c r="D17" s="4"/>
      <c r="E17" s="4"/>
      <c r="F17" s="4"/>
    </row>
    <row r="18" spans="1:6" x14ac:dyDescent="0.25">
      <c r="A18" s="2" t="s">
        <v>20</v>
      </c>
      <c r="B18" s="21">
        <f>SUM(DATA!H:H)</f>
        <v>0</v>
      </c>
      <c r="C18" s="4"/>
      <c r="D18" s="4"/>
      <c r="E18" s="4"/>
      <c r="F18" s="4"/>
    </row>
    <row r="19" spans="1:6" x14ac:dyDescent="0.25">
      <c r="A19" s="2" t="s">
        <v>21</v>
      </c>
      <c r="B19" s="21">
        <f>SUM(DATA!I:I)</f>
        <v>0</v>
      </c>
      <c r="C19" s="4"/>
      <c r="D19" s="4"/>
      <c r="E19" s="4"/>
      <c r="F19" s="4"/>
    </row>
    <row r="20" spans="1:6" x14ac:dyDescent="0.25">
      <c r="A20" s="2" t="s">
        <v>22</v>
      </c>
      <c r="B20" s="21">
        <f>SUM(DATA!J:J)</f>
        <v>222651</v>
      </c>
      <c r="C20" s="4"/>
      <c r="D20" s="4"/>
      <c r="E20" s="4"/>
      <c r="F20" s="4"/>
    </row>
    <row r="21" spans="1:6" x14ac:dyDescent="0.25">
      <c r="A21" s="2" t="s">
        <v>23</v>
      </c>
      <c r="B21" s="21">
        <f>SUM(DATA!K:K)</f>
        <v>0</v>
      </c>
      <c r="C21" s="4"/>
      <c r="D21" s="4"/>
      <c r="E21" s="4"/>
      <c r="F21" s="4"/>
    </row>
    <row r="22" spans="1:6" x14ac:dyDescent="0.25">
      <c r="A22" s="2" t="s">
        <v>24</v>
      </c>
      <c r="B22" s="21">
        <f>SUM(DATA!L:L)</f>
        <v>831251.69</v>
      </c>
      <c r="C22" s="4"/>
      <c r="D22" s="4"/>
      <c r="E22" s="4"/>
      <c r="F22" s="4"/>
    </row>
    <row r="23" spans="1:6" x14ac:dyDescent="0.25">
      <c r="A23" t="s">
        <v>25</v>
      </c>
      <c r="B23" s="21">
        <f>SUM(DATA!M:M)</f>
        <v>126468.32279999999</v>
      </c>
      <c r="C23" s="4"/>
      <c r="D23" s="4"/>
      <c r="E23" s="4"/>
      <c r="F23" s="4"/>
    </row>
    <row r="24" spans="1:6" x14ac:dyDescent="0.25">
      <c r="A24" t="s">
        <v>26</v>
      </c>
      <c r="B24" s="21">
        <f>+B23</f>
        <v>126468.32279999999</v>
      </c>
      <c r="C24" s="4"/>
      <c r="D24" s="4"/>
      <c r="E24" s="4"/>
      <c r="F24" s="4"/>
    </row>
    <row r="25" spans="1:6" x14ac:dyDescent="0.25">
      <c r="A25" t="s">
        <v>27</v>
      </c>
      <c r="B25" s="21">
        <f>+B23-B24</f>
        <v>0</v>
      </c>
      <c r="C25" s="4"/>
      <c r="D25" s="4"/>
      <c r="E25" s="4"/>
      <c r="F25" s="4"/>
    </row>
    <row r="26" spans="1:6" x14ac:dyDescent="0.25">
      <c r="A26" t="s">
        <v>186</v>
      </c>
      <c r="B26" s="21">
        <f>+COUNTA(DATA!A:A)-1</f>
        <v>52</v>
      </c>
      <c r="C26" s="4"/>
      <c r="D26" s="4"/>
      <c r="E26" s="4"/>
      <c r="F26" s="4"/>
    </row>
    <row r="27" spans="1:6" x14ac:dyDescent="0.25">
      <c r="B27" s="4"/>
      <c r="C27" s="4"/>
      <c r="D27" s="4"/>
      <c r="E27" s="4"/>
      <c r="F27" s="4"/>
    </row>
    <row r="28" spans="1:6" x14ac:dyDescent="0.25">
      <c r="B28" s="4"/>
      <c r="C28" s="4"/>
      <c r="D28" s="4"/>
      <c r="E28" s="4"/>
      <c r="F28" s="4"/>
    </row>
    <row r="29" spans="1:6" x14ac:dyDescent="0.25">
      <c r="B29" s="4"/>
      <c r="C29" s="4"/>
      <c r="D29" s="4"/>
      <c r="E29" s="4"/>
      <c r="F29" s="4"/>
    </row>
    <row r="30" spans="1:6" x14ac:dyDescent="0.25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3</xdr:col>
                    <xdr:colOff>466725</xdr:colOff>
                    <xdr:row>1</xdr:row>
                    <xdr:rowOff>123825</xdr:rowOff>
                  </from>
                  <to>
                    <xdr:col>5</xdr:col>
                    <xdr:colOff>1419225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3"/>
  <sheetViews>
    <sheetView topLeftCell="A22" zoomScaleNormal="100" workbookViewId="0">
      <selection activeCell="A53" sqref="A53:XFD53"/>
    </sheetView>
  </sheetViews>
  <sheetFormatPr defaultRowHeight="15" x14ac:dyDescent="0.25"/>
  <cols>
    <col min="1" max="1" width="22.42578125" style="14" customWidth="1"/>
    <col min="2" max="2" width="57.42578125" customWidth="1"/>
    <col min="3" max="5" width="17.28515625" customWidth="1"/>
    <col min="6" max="6" width="57.42578125" customWidth="1"/>
    <col min="7" max="7" width="40.140625" customWidth="1"/>
    <col min="8" max="8" width="13.85546875" style="1" customWidth="1"/>
    <col min="9" max="9" width="14.28515625" style="1" customWidth="1"/>
    <col min="10" max="10" width="13.85546875" style="1" customWidth="1"/>
    <col min="11" max="11" width="18.28515625" style="1" customWidth="1"/>
    <col min="12" max="12" width="13.85546875" style="1" customWidth="1"/>
    <col min="13" max="13" width="16.42578125" style="1" customWidth="1"/>
  </cols>
  <sheetData>
    <row r="1" spans="1:13" s="18" customFormat="1" ht="35.25" customHeight="1" thickBot="1" x14ac:dyDescent="0.3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50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25">
      <c r="A2" s="22" t="s">
        <v>82</v>
      </c>
      <c r="B2" t="s">
        <v>93</v>
      </c>
      <c r="C2" t="s">
        <v>51</v>
      </c>
      <c r="D2" t="s">
        <v>51</v>
      </c>
      <c r="E2" t="s">
        <v>51</v>
      </c>
      <c r="F2" t="s">
        <v>79</v>
      </c>
      <c r="G2" t="s">
        <v>51</v>
      </c>
      <c r="H2" s="1">
        <v>0</v>
      </c>
      <c r="I2" s="1">
        <f>0</f>
        <v>0</v>
      </c>
      <c r="J2" s="1">
        <v>0</v>
      </c>
      <c r="K2" s="1">
        <f>0</f>
        <v>0</v>
      </c>
      <c r="L2" s="1">
        <v>446.43</v>
      </c>
      <c r="M2" s="1">
        <f t="shared" ref="M2:M53" si="0">+(L2+K2+J2)*0.12</f>
        <v>53.571599999999997</v>
      </c>
    </row>
    <row r="3" spans="1:13" x14ac:dyDescent="0.25">
      <c r="A3" s="23" t="s">
        <v>119</v>
      </c>
      <c r="B3" t="s">
        <v>144</v>
      </c>
      <c r="C3" t="s">
        <v>51</v>
      </c>
      <c r="D3" t="s">
        <v>51</v>
      </c>
      <c r="E3" t="s">
        <v>51</v>
      </c>
      <c r="F3" t="s">
        <v>157</v>
      </c>
      <c r="G3" t="s">
        <v>51</v>
      </c>
      <c r="H3" s="1">
        <v>0</v>
      </c>
      <c r="I3" s="1">
        <f>0</f>
        <v>0</v>
      </c>
      <c r="J3" s="1">
        <v>0</v>
      </c>
      <c r="K3" s="1">
        <f>0</f>
        <v>0</v>
      </c>
      <c r="L3" s="1">
        <v>6053.57</v>
      </c>
      <c r="M3" s="1">
        <f t="shared" si="0"/>
        <v>726.4283999999999</v>
      </c>
    </row>
    <row r="4" spans="1:13" x14ac:dyDescent="0.25">
      <c r="A4" s="23" t="s">
        <v>83</v>
      </c>
      <c r="B4" t="s">
        <v>94</v>
      </c>
      <c r="C4" t="s">
        <v>51</v>
      </c>
      <c r="D4" t="s">
        <v>51</v>
      </c>
      <c r="E4" t="s">
        <v>51</v>
      </c>
      <c r="F4" t="s">
        <v>72</v>
      </c>
      <c r="G4" t="s">
        <v>51</v>
      </c>
      <c r="H4" s="1">
        <v>0</v>
      </c>
      <c r="I4" s="1">
        <f>0</f>
        <v>0</v>
      </c>
      <c r="J4" s="1">
        <v>0</v>
      </c>
      <c r="K4" s="1">
        <f>0</f>
        <v>0</v>
      </c>
      <c r="L4" s="1">
        <v>293.3</v>
      </c>
      <c r="M4" s="1">
        <f t="shared" si="0"/>
        <v>35.195999999999998</v>
      </c>
    </row>
    <row r="5" spans="1:13" x14ac:dyDescent="0.25">
      <c r="A5" s="23" t="s">
        <v>74</v>
      </c>
      <c r="B5" t="s">
        <v>77</v>
      </c>
      <c r="C5" t="s">
        <v>51</v>
      </c>
      <c r="D5" t="s">
        <v>51</v>
      </c>
      <c r="E5" t="s">
        <v>51</v>
      </c>
      <c r="F5" t="s">
        <v>109</v>
      </c>
      <c r="G5" t="s">
        <v>51</v>
      </c>
      <c r="H5" s="1">
        <v>0</v>
      </c>
      <c r="I5" s="1">
        <f>0</f>
        <v>0</v>
      </c>
      <c r="J5" s="1">
        <v>0</v>
      </c>
      <c r="K5" s="1">
        <f>0</f>
        <v>0</v>
      </c>
      <c r="L5" s="1">
        <v>317.86</v>
      </c>
      <c r="M5" s="1">
        <f t="shared" si="0"/>
        <v>38.1432</v>
      </c>
    </row>
    <row r="6" spans="1:13" x14ac:dyDescent="0.25">
      <c r="A6" s="23" t="s">
        <v>120</v>
      </c>
      <c r="B6" t="s">
        <v>182</v>
      </c>
      <c r="C6" t="s">
        <v>51</v>
      </c>
      <c r="D6" t="s">
        <v>51</v>
      </c>
      <c r="E6" t="s">
        <v>51</v>
      </c>
      <c r="F6" t="s">
        <v>105</v>
      </c>
      <c r="G6" t="s">
        <v>51</v>
      </c>
      <c r="H6" s="1">
        <v>0</v>
      </c>
      <c r="I6" s="1">
        <f>0</f>
        <v>0</v>
      </c>
      <c r="J6" s="1">
        <v>0</v>
      </c>
      <c r="K6" s="1">
        <f>0</f>
        <v>0</v>
      </c>
      <c r="L6" s="1">
        <v>236.61</v>
      </c>
      <c r="M6" s="1">
        <f t="shared" si="0"/>
        <v>28.3932</v>
      </c>
    </row>
    <row r="7" spans="1:13" x14ac:dyDescent="0.25">
      <c r="A7" s="23" t="s">
        <v>84</v>
      </c>
      <c r="B7" t="s">
        <v>110</v>
      </c>
      <c r="C7" t="s">
        <v>51</v>
      </c>
      <c r="D7" t="s">
        <v>51</v>
      </c>
      <c r="E7" t="s">
        <v>51</v>
      </c>
      <c r="F7" t="s">
        <v>72</v>
      </c>
      <c r="G7" t="s">
        <v>51</v>
      </c>
      <c r="H7" s="1">
        <v>0</v>
      </c>
      <c r="I7" s="1">
        <f>0</f>
        <v>0</v>
      </c>
      <c r="J7" s="1">
        <v>0</v>
      </c>
      <c r="K7" s="1">
        <f>0</f>
        <v>0</v>
      </c>
      <c r="L7" s="1">
        <v>446.43</v>
      </c>
      <c r="M7" s="1">
        <f t="shared" si="0"/>
        <v>53.571599999999997</v>
      </c>
    </row>
    <row r="8" spans="1:13" x14ac:dyDescent="0.25">
      <c r="A8" s="23" t="s">
        <v>121</v>
      </c>
      <c r="B8" t="s">
        <v>145</v>
      </c>
      <c r="C8" t="s">
        <v>51</v>
      </c>
      <c r="D8" t="s">
        <v>51</v>
      </c>
      <c r="E8" t="s">
        <v>51</v>
      </c>
      <c r="F8" t="s">
        <v>158</v>
      </c>
      <c r="G8" t="s">
        <v>51</v>
      </c>
      <c r="H8" s="1">
        <v>0</v>
      </c>
      <c r="I8" s="1">
        <f>0</f>
        <v>0</v>
      </c>
      <c r="J8" s="1">
        <v>0</v>
      </c>
      <c r="K8" s="1">
        <f>0</f>
        <v>0</v>
      </c>
      <c r="L8" s="1">
        <v>41321.43</v>
      </c>
      <c r="M8" s="1">
        <f t="shared" si="0"/>
        <v>4958.5716000000002</v>
      </c>
    </row>
    <row r="9" spans="1:13" x14ac:dyDescent="0.25">
      <c r="A9" s="23" t="s">
        <v>53</v>
      </c>
      <c r="B9" t="s">
        <v>42</v>
      </c>
      <c r="C9" t="s">
        <v>51</v>
      </c>
      <c r="D9" t="s">
        <v>51</v>
      </c>
      <c r="E9" t="s">
        <v>51</v>
      </c>
      <c r="F9" t="s">
        <v>102</v>
      </c>
      <c r="G9" t="s">
        <v>51</v>
      </c>
      <c r="H9" s="1">
        <v>0</v>
      </c>
      <c r="I9" s="1">
        <f>0</f>
        <v>0</v>
      </c>
      <c r="J9" s="1">
        <v>182472</v>
      </c>
      <c r="K9" s="1">
        <f>0</f>
        <v>0</v>
      </c>
      <c r="L9" s="1">
        <v>1824.72</v>
      </c>
      <c r="M9" s="1">
        <f t="shared" si="0"/>
        <v>22115.606400000001</v>
      </c>
    </row>
    <row r="10" spans="1:13" x14ac:dyDescent="0.25">
      <c r="A10" s="23" t="s">
        <v>122</v>
      </c>
      <c r="B10" t="s">
        <v>146</v>
      </c>
      <c r="C10" t="s">
        <v>51</v>
      </c>
      <c r="D10" t="s">
        <v>51</v>
      </c>
      <c r="E10" t="s">
        <v>51</v>
      </c>
      <c r="F10" t="s">
        <v>172</v>
      </c>
      <c r="G10" t="s">
        <v>51</v>
      </c>
      <c r="H10" s="1">
        <v>0</v>
      </c>
      <c r="I10" s="1">
        <f>0</f>
        <v>0</v>
      </c>
      <c r="J10" s="1">
        <v>0</v>
      </c>
      <c r="K10" s="1">
        <f>0</f>
        <v>0</v>
      </c>
      <c r="L10" s="1">
        <v>98839.29</v>
      </c>
      <c r="M10" s="1">
        <f t="shared" si="0"/>
        <v>11860.714799999998</v>
      </c>
    </row>
    <row r="11" spans="1:13" x14ac:dyDescent="0.25">
      <c r="A11" s="23" t="s">
        <v>123</v>
      </c>
      <c r="B11" t="s">
        <v>173</v>
      </c>
      <c r="C11" t="s">
        <v>51</v>
      </c>
      <c r="D11" t="s">
        <v>51</v>
      </c>
      <c r="E11" t="s">
        <v>51</v>
      </c>
      <c r="F11" t="s">
        <v>167</v>
      </c>
      <c r="G11" t="s">
        <v>51</v>
      </c>
      <c r="H11" s="1">
        <v>0</v>
      </c>
      <c r="I11" s="1">
        <f>0</f>
        <v>0</v>
      </c>
      <c r="J11" s="1">
        <v>0</v>
      </c>
      <c r="K11" s="1">
        <f>0</f>
        <v>0</v>
      </c>
      <c r="L11" s="1">
        <v>446.43</v>
      </c>
      <c r="M11" s="1">
        <f t="shared" si="0"/>
        <v>53.571599999999997</v>
      </c>
    </row>
    <row r="12" spans="1:13" x14ac:dyDescent="0.25">
      <c r="A12" s="23" t="s">
        <v>85</v>
      </c>
      <c r="B12" t="s">
        <v>111</v>
      </c>
      <c r="C12" t="s">
        <v>51</v>
      </c>
      <c r="D12" t="s">
        <v>51</v>
      </c>
      <c r="E12" t="s">
        <v>51</v>
      </c>
      <c r="F12" t="s">
        <v>72</v>
      </c>
      <c r="G12" t="s">
        <v>51</v>
      </c>
      <c r="H12" s="1">
        <v>0</v>
      </c>
      <c r="I12" s="1">
        <f>0</f>
        <v>0</v>
      </c>
      <c r="J12" s="1">
        <v>0</v>
      </c>
      <c r="K12" s="1">
        <f>0</f>
        <v>0</v>
      </c>
      <c r="L12" s="1">
        <v>977.6</v>
      </c>
      <c r="M12" s="1">
        <f t="shared" si="0"/>
        <v>117.312</v>
      </c>
    </row>
    <row r="13" spans="1:13" x14ac:dyDescent="0.25">
      <c r="A13" s="23" t="s">
        <v>66</v>
      </c>
      <c r="B13" t="s">
        <v>70</v>
      </c>
      <c r="C13" t="s">
        <v>51</v>
      </c>
      <c r="D13" t="s">
        <v>51</v>
      </c>
      <c r="E13" t="s">
        <v>51</v>
      </c>
      <c r="F13" t="s">
        <v>49</v>
      </c>
      <c r="G13" t="s">
        <v>51</v>
      </c>
      <c r="H13" s="1">
        <v>0</v>
      </c>
      <c r="I13" s="1">
        <f>0</f>
        <v>0</v>
      </c>
      <c r="J13" s="1">
        <v>0</v>
      </c>
      <c r="K13" s="1">
        <f>0</f>
        <v>0</v>
      </c>
      <c r="L13" s="1">
        <v>66.959999999999994</v>
      </c>
      <c r="M13" s="1">
        <f t="shared" si="0"/>
        <v>8.0351999999999997</v>
      </c>
    </row>
    <row r="14" spans="1:13" x14ac:dyDescent="0.25">
      <c r="A14" s="23" t="s">
        <v>65</v>
      </c>
      <c r="B14" t="s">
        <v>69</v>
      </c>
      <c r="C14" t="s">
        <v>51</v>
      </c>
      <c r="D14" t="s">
        <v>51</v>
      </c>
      <c r="E14" t="s">
        <v>51</v>
      </c>
      <c r="F14" t="s">
        <v>48</v>
      </c>
      <c r="G14" t="s">
        <v>51</v>
      </c>
      <c r="H14" s="1">
        <v>0</v>
      </c>
      <c r="I14" s="1">
        <f>0</f>
        <v>0</v>
      </c>
      <c r="J14" s="1">
        <v>0</v>
      </c>
      <c r="K14" s="1">
        <f>0</f>
        <v>0</v>
      </c>
      <c r="L14" s="1">
        <v>1901.35</v>
      </c>
      <c r="M14" s="1">
        <f t="shared" si="0"/>
        <v>228.16199999999998</v>
      </c>
    </row>
    <row r="15" spans="1:13" x14ac:dyDescent="0.25">
      <c r="A15" s="23" t="s">
        <v>75</v>
      </c>
      <c r="B15" t="s">
        <v>112</v>
      </c>
      <c r="C15" t="s">
        <v>51</v>
      </c>
      <c r="D15" t="s">
        <v>51</v>
      </c>
      <c r="E15" t="s">
        <v>51</v>
      </c>
      <c r="F15" t="s">
        <v>103</v>
      </c>
      <c r="G15" t="s">
        <v>51</v>
      </c>
      <c r="H15" s="1">
        <v>0</v>
      </c>
      <c r="I15" s="1">
        <f>0</f>
        <v>0</v>
      </c>
      <c r="J15" s="1">
        <v>0</v>
      </c>
      <c r="K15" s="1">
        <f>0</f>
        <v>0</v>
      </c>
      <c r="L15" s="1">
        <v>3839.29</v>
      </c>
      <c r="M15" s="1">
        <f t="shared" si="0"/>
        <v>460.71479999999997</v>
      </c>
    </row>
    <row r="16" spans="1:13" x14ac:dyDescent="0.25">
      <c r="A16" s="23" t="s">
        <v>124</v>
      </c>
      <c r="B16" t="s">
        <v>174</v>
      </c>
      <c r="C16" t="s">
        <v>51</v>
      </c>
      <c r="D16" t="s">
        <v>51</v>
      </c>
      <c r="E16" t="s">
        <v>51</v>
      </c>
      <c r="F16" t="s">
        <v>175</v>
      </c>
      <c r="G16" t="s">
        <v>51</v>
      </c>
      <c r="H16" s="1">
        <v>0</v>
      </c>
      <c r="I16" s="1">
        <f>0</f>
        <v>0</v>
      </c>
      <c r="J16" s="1">
        <v>0</v>
      </c>
      <c r="K16" s="1">
        <f>0</f>
        <v>0</v>
      </c>
      <c r="L16" s="1">
        <v>29464.29</v>
      </c>
      <c r="M16" s="1">
        <f t="shared" si="0"/>
        <v>3535.7148000000002</v>
      </c>
    </row>
    <row r="17" spans="1:13" x14ac:dyDescent="0.25">
      <c r="A17" s="23" t="s">
        <v>125</v>
      </c>
      <c r="B17" t="s">
        <v>176</v>
      </c>
      <c r="C17" t="s">
        <v>51</v>
      </c>
      <c r="D17" t="s">
        <v>51</v>
      </c>
      <c r="E17" t="s">
        <v>51</v>
      </c>
      <c r="F17" t="s">
        <v>177</v>
      </c>
      <c r="G17" t="s">
        <v>51</v>
      </c>
      <c r="H17" s="1">
        <v>0</v>
      </c>
      <c r="I17" s="1">
        <f>0</f>
        <v>0</v>
      </c>
      <c r="J17" s="1">
        <v>0</v>
      </c>
      <c r="K17" s="1">
        <f>0</f>
        <v>0</v>
      </c>
      <c r="L17" s="1">
        <v>8975</v>
      </c>
      <c r="M17" s="1">
        <f t="shared" si="0"/>
        <v>1077</v>
      </c>
    </row>
    <row r="18" spans="1:13" x14ac:dyDescent="0.25">
      <c r="A18" s="23" t="s">
        <v>126</v>
      </c>
      <c r="B18" t="s">
        <v>178</v>
      </c>
      <c r="C18" t="s">
        <v>51</v>
      </c>
      <c r="D18" t="s">
        <v>51</v>
      </c>
      <c r="E18" t="s">
        <v>51</v>
      </c>
      <c r="F18" t="s">
        <v>185</v>
      </c>
      <c r="G18" t="s">
        <v>51</v>
      </c>
      <c r="H18" s="1">
        <v>0</v>
      </c>
      <c r="I18" s="1">
        <f>0</f>
        <v>0</v>
      </c>
      <c r="J18" s="1">
        <v>0</v>
      </c>
      <c r="K18" s="1">
        <f>0</f>
        <v>0</v>
      </c>
      <c r="L18" s="1">
        <v>355.36</v>
      </c>
      <c r="M18" s="1">
        <f t="shared" si="0"/>
        <v>42.6432</v>
      </c>
    </row>
    <row r="19" spans="1:13" x14ac:dyDescent="0.25">
      <c r="A19" s="23" t="s">
        <v>127</v>
      </c>
      <c r="B19" t="s">
        <v>147</v>
      </c>
      <c r="C19" t="s">
        <v>51</v>
      </c>
      <c r="D19" t="s">
        <v>51</v>
      </c>
      <c r="E19" t="s">
        <v>51</v>
      </c>
      <c r="F19" t="s">
        <v>168</v>
      </c>
      <c r="G19" t="s">
        <v>51</v>
      </c>
      <c r="H19" s="1">
        <v>0</v>
      </c>
      <c r="I19" s="1">
        <f>0</f>
        <v>0</v>
      </c>
      <c r="J19" s="1">
        <v>0</v>
      </c>
      <c r="K19" s="1">
        <f>0</f>
        <v>0</v>
      </c>
      <c r="L19" s="1">
        <v>63950</v>
      </c>
      <c r="M19" s="1">
        <f t="shared" si="0"/>
        <v>7674</v>
      </c>
    </row>
    <row r="20" spans="1:13" x14ac:dyDescent="0.25">
      <c r="A20" s="23" t="s">
        <v>128</v>
      </c>
      <c r="B20" t="s">
        <v>148</v>
      </c>
      <c r="C20" t="s">
        <v>51</v>
      </c>
      <c r="D20" t="s">
        <v>51</v>
      </c>
      <c r="E20" t="s">
        <v>51</v>
      </c>
      <c r="F20" t="s">
        <v>159</v>
      </c>
      <c r="G20" t="s">
        <v>51</v>
      </c>
      <c r="H20" s="1">
        <v>0</v>
      </c>
      <c r="I20" s="1">
        <f>0</f>
        <v>0</v>
      </c>
      <c r="J20" s="1">
        <v>0</v>
      </c>
      <c r="K20" s="1">
        <f>0</f>
        <v>0</v>
      </c>
      <c r="L20" s="1">
        <v>84.82</v>
      </c>
      <c r="M20" s="1">
        <f t="shared" si="0"/>
        <v>10.178399999999998</v>
      </c>
    </row>
    <row r="21" spans="1:13" x14ac:dyDescent="0.25">
      <c r="A21" s="23" t="s">
        <v>129</v>
      </c>
      <c r="B21" t="s">
        <v>184</v>
      </c>
      <c r="C21" t="s">
        <v>51</v>
      </c>
      <c r="D21" t="s">
        <v>51</v>
      </c>
      <c r="E21" t="s">
        <v>51</v>
      </c>
      <c r="F21" t="s">
        <v>179</v>
      </c>
      <c r="G21" t="s">
        <v>51</v>
      </c>
      <c r="H21" s="1">
        <v>0</v>
      </c>
      <c r="I21" s="1">
        <f>0</f>
        <v>0</v>
      </c>
      <c r="J21" s="1">
        <v>0</v>
      </c>
      <c r="K21" s="1">
        <f>0</f>
        <v>0</v>
      </c>
      <c r="L21" s="1">
        <v>5142.8599999999997</v>
      </c>
      <c r="M21" s="1">
        <f t="shared" si="0"/>
        <v>617.14319999999998</v>
      </c>
    </row>
    <row r="22" spans="1:13" x14ac:dyDescent="0.25">
      <c r="A22" s="23" t="s">
        <v>52</v>
      </c>
      <c r="B22" t="s">
        <v>44</v>
      </c>
      <c r="C22" t="s">
        <v>51</v>
      </c>
      <c r="D22" t="s">
        <v>51</v>
      </c>
      <c r="E22" t="s">
        <v>51</v>
      </c>
      <c r="F22" t="s">
        <v>106</v>
      </c>
      <c r="G22" t="s">
        <v>51</v>
      </c>
      <c r="H22" s="1">
        <v>0</v>
      </c>
      <c r="I22" s="1">
        <f>0</f>
        <v>0</v>
      </c>
      <c r="J22" s="1">
        <v>0</v>
      </c>
      <c r="K22" s="1">
        <f>0</f>
        <v>0</v>
      </c>
      <c r="L22" s="1">
        <v>15576.24</v>
      </c>
      <c r="M22" s="1">
        <f t="shared" si="0"/>
        <v>1869.1487999999999</v>
      </c>
    </row>
    <row r="23" spans="1:13" x14ac:dyDescent="0.25">
      <c r="A23" s="23" t="s">
        <v>56</v>
      </c>
      <c r="B23" t="s">
        <v>46</v>
      </c>
      <c r="C23" t="s">
        <v>51</v>
      </c>
      <c r="D23" t="s">
        <v>51</v>
      </c>
      <c r="E23" t="s">
        <v>51</v>
      </c>
      <c r="F23" t="s">
        <v>47</v>
      </c>
      <c r="G23" t="s">
        <v>51</v>
      </c>
      <c r="H23" s="1">
        <v>0</v>
      </c>
      <c r="I23" s="1">
        <f>0</f>
        <v>0</v>
      </c>
      <c r="J23" s="1">
        <v>0</v>
      </c>
      <c r="K23" s="1">
        <f>0</f>
        <v>0</v>
      </c>
      <c r="L23" s="1">
        <v>1660.71</v>
      </c>
      <c r="M23" s="1">
        <f t="shared" si="0"/>
        <v>199.2852</v>
      </c>
    </row>
    <row r="24" spans="1:13" x14ac:dyDescent="0.25">
      <c r="A24" s="23" t="s">
        <v>130</v>
      </c>
      <c r="B24" t="s">
        <v>162</v>
      </c>
      <c r="C24" t="s">
        <v>51</v>
      </c>
      <c r="D24" t="s">
        <v>51</v>
      </c>
      <c r="E24" t="s">
        <v>51</v>
      </c>
      <c r="F24" t="s">
        <v>160</v>
      </c>
      <c r="G24" t="s">
        <v>51</v>
      </c>
      <c r="H24" s="1">
        <v>0</v>
      </c>
      <c r="I24" s="1">
        <f>0</f>
        <v>0</v>
      </c>
      <c r="J24" s="1">
        <v>0</v>
      </c>
      <c r="K24" s="1">
        <f>0</f>
        <v>0</v>
      </c>
      <c r="L24" s="1">
        <v>607.14</v>
      </c>
      <c r="M24" s="1">
        <f t="shared" si="0"/>
        <v>72.856799999999993</v>
      </c>
    </row>
    <row r="25" spans="1:13" x14ac:dyDescent="0.25">
      <c r="A25" s="23" t="s">
        <v>131</v>
      </c>
      <c r="B25" t="s">
        <v>149</v>
      </c>
      <c r="C25" t="s">
        <v>51</v>
      </c>
      <c r="D25" t="s">
        <v>51</v>
      </c>
      <c r="E25" t="s">
        <v>51</v>
      </c>
      <c r="F25" t="s">
        <v>47</v>
      </c>
      <c r="G25" t="s">
        <v>51</v>
      </c>
      <c r="H25" s="1">
        <v>0</v>
      </c>
      <c r="I25" s="1">
        <f>0</f>
        <v>0</v>
      </c>
      <c r="J25" s="1">
        <v>0</v>
      </c>
      <c r="K25" s="1">
        <f>0</f>
        <v>0</v>
      </c>
      <c r="L25" s="1">
        <v>120.54</v>
      </c>
      <c r="M25" s="1">
        <f t="shared" si="0"/>
        <v>14.4648</v>
      </c>
    </row>
    <row r="26" spans="1:13" x14ac:dyDescent="0.25">
      <c r="A26" s="23" t="s">
        <v>132</v>
      </c>
      <c r="B26" t="s">
        <v>150</v>
      </c>
      <c r="C26" t="s">
        <v>51</v>
      </c>
      <c r="D26" t="s">
        <v>51</v>
      </c>
      <c r="E26" t="s">
        <v>51</v>
      </c>
      <c r="F26" t="s">
        <v>72</v>
      </c>
      <c r="G26" t="s">
        <v>51</v>
      </c>
      <c r="H26" s="1">
        <v>0</v>
      </c>
      <c r="I26" s="1">
        <f>0</f>
        <v>0</v>
      </c>
      <c r="J26" s="1">
        <v>0</v>
      </c>
      <c r="K26" s="1">
        <f>0</f>
        <v>0</v>
      </c>
      <c r="L26" s="1">
        <v>1339.32</v>
      </c>
      <c r="M26" s="1">
        <f t="shared" si="0"/>
        <v>160.71839999999997</v>
      </c>
    </row>
    <row r="27" spans="1:13" x14ac:dyDescent="0.25">
      <c r="A27" s="23" t="s">
        <v>86</v>
      </c>
      <c r="B27" t="s">
        <v>95</v>
      </c>
      <c r="C27" t="s">
        <v>51</v>
      </c>
      <c r="D27" t="s">
        <v>51</v>
      </c>
      <c r="E27" t="s">
        <v>51</v>
      </c>
      <c r="F27" t="s">
        <v>113</v>
      </c>
      <c r="G27" t="s">
        <v>51</v>
      </c>
      <c r="H27" s="1">
        <v>0</v>
      </c>
      <c r="I27" s="1">
        <f>0</f>
        <v>0</v>
      </c>
      <c r="J27" s="1">
        <v>0</v>
      </c>
      <c r="K27" s="1">
        <f>0</f>
        <v>0</v>
      </c>
      <c r="L27" s="1">
        <v>1607.14</v>
      </c>
      <c r="M27" s="1">
        <f t="shared" si="0"/>
        <v>192.85679999999999</v>
      </c>
    </row>
    <row r="28" spans="1:13" x14ac:dyDescent="0.25">
      <c r="A28" s="23" t="s">
        <v>133</v>
      </c>
      <c r="B28" t="s">
        <v>151</v>
      </c>
      <c r="C28" t="s">
        <v>51</v>
      </c>
      <c r="D28" t="s">
        <v>51</v>
      </c>
      <c r="E28" t="s">
        <v>51</v>
      </c>
      <c r="F28" t="s">
        <v>161</v>
      </c>
      <c r="G28" t="s">
        <v>51</v>
      </c>
      <c r="H28" s="1">
        <v>0</v>
      </c>
      <c r="I28" s="1">
        <f>0</f>
        <v>0</v>
      </c>
      <c r="J28" s="1">
        <v>0</v>
      </c>
      <c r="K28" s="1">
        <f>0</f>
        <v>0</v>
      </c>
      <c r="L28" s="1">
        <v>314.29000000000002</v>
      </c>
      <c r="M28" s="1">
        <f t="shared" si="0"/>
        <v>37.714800000000004</v>
      </c>
    </row>
    <row r="29" spans="1:13" x14ac:dyDescent="0.25">
      <c r="A29" s="23" t="s">
        <v>62</v>
      </c>
      <c r="B29" t="s">
        <v>68</v>
      </c>
      <c r="C29" t="s">
        <v>51</v>
      </c>
      <c r="D29" t="s">
        <v>51</v>
      </c>
      <c r="E29" t="s">
        <v>51</v>
      </c>
      <c r="F29" t="s">
        <v>105</v>
      </c>
      <c r="G29" t="s">
        <v>51</v>
      </c>
      <c r="H29" s="1">
        <v>0</v>
      </c>
      <c r="I29" s="1">
        <f>0</f>
        <v>0</v>
      </c>
      <c r="J29" s="1">
        <v>0</v>
      </c>
      <c r="K29" s="1">
        <f>0</f>
        <v>0</v>
      </c>
      <c r="L29" s="1">
        <v>1383.93</v>
      </c>
      <c r="M29" s="1">
        <f t="shared" si="0"/>
        <v>166.07159999999999</v>
      </c>
    </row>
    <row r="30" spans="1:13" x14ac:dyDescent="0.25">
      <c r="A30" s="23" t="s">
        <v>134</v>
      </c>
      <c r="B30" t="s">
        <v>163</v>
      </c>
      <c r="C30" t="s">
        <v>51</v>
      </c>
      <c r="D30" t="s">
        <v>51</v>
      </c>
      <c r="E30" t="s">
        <v>51</v>
      </c>
      <c r="F30" t="s">
        <v>105</v>
      </c>
      <c r="G30" t="s">
        <v>51</v>
      </c>
      <c r="H30" s="1">
        <v>0</v>
      </c>
      <c r="I30" s="1">
        <f>0</f>
        <v>0</v>
      </c>
      <c r="J30" s="1">
        <v>0</v>
      </c>
      <c r="K30" s="1">
        <f>0</f>
        <v>0</v>
      </c>
      <c r="L30" s="1">
        <v>8928.57</v>
      </c>
      <c r="M30" s="1">
        <f t="shared" si="0"/>
        <v>1071.4284</v>
      </c>
    </row>
    <row r="31" spans="1:13" x14ac:dyDescent="0.25">
      <c r="A31" s="23" t="s">
        <v>135</v>
      </c>
      <c r="B31" t="s">
        <v>164</v>
      </c>
      <c r="C31" t="s">
        <v>51</v>
      </c>
      <c r="D31" t="s">
        <v>51</v>
      </c>
      <c r="E31" t="s">
        <v>51</v>
      </c>
      <c r="F31" t="s">
        <v>169</v>
      </c>
      <c r="G31" t="s">
        <v>51</v>
      </c>
      <c r="H31" s="1">
        <v>0</v>
      </c>
      <c r="I31" s="1">
        <f>0</f>
        <v>0</v>
      </c>
      <c r="J31" s="1">
        <v>0</v>
      </c>
      <c r="K31" s="1">
        <f>0</f>
        <v>0</v>
      </c>
      <c r="L31" s="1">
        <v>133.93</v>
      </c>
      <c r="M31" s="1">
        <f t="shared" si="0"/>
        <v>16.0716</v>
      </c>
    </row>
    <row r="32" spans="1:13" x14ac:dyDescent="0.25">
      <c r="A32" s="23" t="s">
        <v>60</v>
      </c>
      <c r="B32" t="s">
        <v>61</v>
      </c>
      <c r="C32" t="s">
        <v>51</v>
      </c>
      <c r="D32" t="s">
        <v>51</v>
      </c>
      <c r="E32" t="s">
        <v>51</v>
      </c>
      <c r="F32" t="s">
        <v>47</v>
      </c>
      <c r="G32" t="s">
        <v>51</v>
      </c>
      <c r="H32" s="1">
        <v>0</v>
      </c>
      <c r="I32" s="1">
        <f>0</f>
        <v>0</v>
      </c>
      <c r="J32" s="1">
        <v>40179</v>
      </c>
      <c r="K32" s="1">
        <f>0</f>
        <v>0</v>
      </c>
      <c r="L32" s="1">
        <v>401.79</v>
      </c>
      <c r="M32" s="1">
        <f t="shared" si="0"/>
        <v>4869.6948000000002</v>
      </c>
    </row>
    <row r="33" spans="1:13" x14ac:dyDescent="0.25">
      <c r="A33" s="23" t="s">
        <v>57</v>
      </c>
      <c r="B33" t="s">
        <v>41</v>
      </c>
      <c r="C33" t="s">
        <v>51</v>
      </c>
      <c r="D33" t="s">
        <v>51</v>
      </c>
      <c r="E33" t="s">
        <v>51</v>
      </c>
      <c r="F33" t="s">
        <v>105</v>
      </c>
      <c r="G33" t="s">
        <v>51</v>
      </c>
      <c r="H33" s="1">
        <v>0</v>
      </c>
      <c r="I33" s="1">
        <f>0</f>
        <v>0</v>
      </c>
      <c r="J33" s="1">
        <v>0</v>
      </c>
      <c r="K33" s="1">
        <f>0</f>
        <v>0</v>
      </c>
      <c r="L33" s="1">
        <v>13821.43</v>
      </c>
      <c r="M33" s="1">
        <f t="shared" si="0"/>
        <v>1658.5716</v>
      </c>
    </row>
    <row r="34" spans="1:13" x14ac:dyDescent="0.25">
      <c r="A34" s="23" t="s">
        <v>67</v>
      </c>
      <c r="B34" t="s">
        <v>71</v>
      </c>
      <c r="C34" t="s">
        <v>51</v>
      </c>
      <c r="D34" t="s">
        <v>51</v>
      </c>
      <c r="E34" t="s">
        <v>51</v>
      </c>
      <c r="F34" t="s">
        <v>104</v>
      </c>
      <c r="G34" t="s">
        <v>51</v>
      </c>
      <c r="H34" s="1">
        <v>0</v>
      </c>
      <c r="I34" s="1">
        <f>0</f>
        <v>0</v>
      </c>
      <c r="J34" s="1">
        <v>0</v>
      </c>
      <c r="K34" s="1">
        <f>0</f>
        <v>0</v>
      </c>
      <c r="L34" s="1">
        <v>446.43</v>
      </c>
      <c r="M34" s="1">
        <f t="shared" si="0"/>
        <v>53.571599999999997</v>
      </c>
    </row>
    <row r="35" spans="1:13" x14ac:dyDescent="0.25">
      <c r="A35" s="23" t="s">
        <v>87</v>
      </c>
      <c r="B35" t="s">
        <v>96</v>
      </c>
      <c r="C35" t="s">
        <v>51</v>
      </c>
      <c r="D35" t="s">
        <v>51</v>
      </c>
      <c r="E35" t="s">
        <v>51</v>
      </c>
      <c r="F35" t="s">
        <v>101</v>
      </c>
      <c r="G35" t="s">
        <v>51</v>
      </c>
      <c r="H35" s="1">
        <v>0</v>
      </c>
      <c r="I35" s="1">
        <f>0</f>
        <v>0</v>
      </c>
      <c r="J35" s="1">
        <v>0</v>
      </c>
      <c r="K35" s="1">
        <f>0</f>
        <v>0</v>
      </c>
      <c r="L35" s="1">
        <v>267.86</v>
      </c>
      <c r="M35" s="1">
        <f t="shared" si="0"/>
        <v>32.1432</v>
      </c>
    </row>
    <row r="36" spans="1:13" x14ac:dyDescent="0.25">
      <c r="A36" s="23" t="s">
        <v>136</v>
      </c>
      <c r="B36" t="s">
        <v>165</v>
      </c>
      <c r="C36" t="s">
        <v>51</v>
      </c>
      <c r="D36" t="s">
        <v>51</v>
      </c>
      <c r="E36" t="s">
        <v>51</v>
      </c>
      <c r="F36" t="s">
        <v>72</v>
      </c>
      <c r="G36" t="s">
        <v>51</v>
      </c>
      <c r="H36" s="1">
        <v>0</v>
      </c>
      <c r="I36" s="1">
        <f>0</f>
        <v>0</v>
      </c>
      <c r="J36" s="1">
        <v>0</v>
      </c>
      <c r="K36" s="1">
        <f>0</f>
        <v>0</v>
      </c>
      <c r="L36" s="1">
        <v>107.14</v>
      </c>
      <c r="M36" s="1">
        <f t="shared" si="0"/>
        <v>12.8568</v>
      </c>
    </row>
    <row r="37" spans="1:13" x14ac:dyDescent="0.25">
      <c r="A37" s="23" t="s">
        <v>88</v>
      </c>
      <c r="B37" t="s">
        <v>97</v>
      </c>
      <c r="C37" t="s">
        <v>51</v>
      </c>
      <c r="D37" t="s">
        <v>51</v>
      </c>
      <c r="E37" t="s">
        <v>51</v>
      </c>
      <c r="F37" t="s">
        <v>117</v>
      </c>
      <c r="G37" t="s">
        <v>51</v>
      </c>
      <c r="H37" s="1">
        <v>0</v>
      </c>
      <c r="I37" s="1">
        <f>0</f>
        <v>0</v>
      </c>
      <c r="J37" s="1">
        <v>0</v>
      </c>
      <c r="K37" s="1">
        <f>0</f>
        <v>0</v>
      </c>
      <c r="L37" s="1">
        <v>251022.86</v>
      </c>
      <c r="M37" s="1">
        <f t="shared" si="0"/>
        <v>30122.743199999997</v>
      </c>
    </row>
    <row r="38" spans="1:13" x14ac:dyDescent="0.25">
      <c r="A38" s="23" t="s">
        <v>137</v>
      </c>
      <c r="B38" t="s">
        <v>152</v>
      </c>
      <c r="C38" t="s">
        <v>51</v>
      </c>
      <c r="D38" t="s">
        <v>51</v>
      </c>
      <c r="E38" t="s">
        <v>51</v>
      </c>
      <c r="F38" t="s">
        <v>180</v>
      </c>
      <c r="G38" t="s">
        <v>51</v>
      </c>
      <c r="H38" s="1">
        <v>0</v>
      </c>
      <c r="I38" s="1">
        <f>0</f>
        <v>0</v>
      </c>
      <c r="J38" s="1">
        <v>0</v>
      </c>
      <c r="K38" s="1">
        <f>0</f>
        <v>0</v>
      </c>
      <c r="L38" s="1">
        <v>89467.81</v>
      </c>
      <c r="M38" s="1">
        <f t="shared" si="0"/>
        <v>10736.137199999999</v>
      </c>
    </row>
    <row r="39" spans="1:13" x14ac:dyDescent="0.25">
      <c r="A39" s="23" t="s">
        <v>89</v>
      </c>
      <c r="B39" t="s">
        <v>98</v>
      </c>
      <c r="C39" t="s">
        <v>51</v>
      </c>
      <c r="D39" t="s">
        <v>51</v>
      </c>
      <c r="E39" t="s">
        <v>51</v>
      </c>
      <c r="F39" t="s">
        <v>72</v>
      </c>
      <c r="G39" t="s">
        <v>51</v>
      </c>
      <c r="H39" s="1">
        <v>0</v>
      </c>
      <c r="I39" s="1">
        <f>0</f>
        <v>0</v>
      </c>
      <c r="J39" s="1">
        <v>0</v>
      </c>
      <c r="K39" s="1">
        <f>0</f>
        <v>0</v>
      </c>
      <c r="L39" s="1">
        <v>625</v>
      </c>
      <c r="M39" s="1">
        <f t="shared" si="0"/>
        <v>75</v>
      </c>
    </row>
    <row r="40" spans="1:13" x14ac:dyDescent="0.25">
      <c r="A40" s="23" t="s">
        <v>55</v>
      </c>
      <c r="B40" t="s">
        <v>45</v>
      </c>
      <c r="C40" t="s">
        <v>51</v>
      </c>
      <c r="D40" t="s">
        <v>51</v>
      </c>
      <c r="E40" t="s">
        <v>51</v>
      </c>
      <c r="F40" t="s">
        <v>107</v>
      </c>
      <c r="G40" t="s">
        <v>51</v>
      </c>
      <c r="H40" s="1">
        <v>0</v>
      </c>
      <c r="I40" s="1">
        <f>0</f>
        <v>0</v>
      </c>
      <c r="J40" s="1">
        <v>0</v>
      </c>
      <c r="K40" s="1">
        <f>0</f>
        <v>0</v>
      </c>
      <c r="L40" s="1">
        <v>8035.7099999999991</v>
      </c>
      <c r="M40" s="1">
        <f t="shared" si="0"/>
        <v>964.2851999999998</v>
      </c>
    </row>
    <row r="41" spans="1:13" x14ac:dyDescent="0.25">
      <c r="A41" s="23" t="s">
        <v>138</v>
      </c>
      <c r="B41" t="s">
        <v>153</v>
      </c>
      <c r="C41" t="s">
        <v>51</v>
      </c>
      <c r="D41" t="s">
        <v>51</v>
      </c>
      <c r="E41" t="s">
        <v>51</v>
      </c>
      <c r="F41" t="s">
        <v>170</v>
      </c>
      <c r="G41" t="s">
        <v>51</v>
      </c>
      <c r="H41" s="1">
        <v>0</v>
      </c>
      <c r="I41" s="1">
        <f>0</f>
        <v>0</v>
      </c>
      <c r="J41" s="1">
        <v>0</v>
      </c>
      <c r="K41" s="1">
        <f>0</f>
        <v>0</v>
      </c>
      <c r="L41" s="1">
        <v>352.23</v>
      </c>
      <c r="M41" s="1">
        <f t="shared" si="0"/>
        <v>42.267600000000002</v>
      </c>
    </row>
    <row r="42" spans="1:13" x14ac:dyDescent="0.25">
      <c r="A42" s="23" t="s">
        <v>90</v>
      </c>
      <c r="B42" t="s">
        <v>115</v>
      </c>
      <c r="C42" t="s">
        <v>51</v>
      </c>
      <c r="D42" t="s">
        <v>51</v>
      </c>
      <c r="E42" t="s">
        <v>51</v>
      </c>
      <c r="F42" t="s">
        <v>72</v>
      </c>
      <c r="G42" t="s">
        <v>51</v>
      </c>
      <c r="H42" s="1">
        <v>0</v>
      </c>
      <c r="I42" s="1">
        <f>0</f>
        <v>0</v>
      </c>
      <c r="J42" s="1">
        <v>0</v>
      </c>
      <c r="K42" s="1">
        <f>0</f>
        <v>0</v>
      </c>
      <c r="L42" s="1">
        <v>72.319999999999993</v>
      </c>
      <c r="M42" s="1">
        <f t="shared" si="0"/>
        <v>8.6783999999999981</v>
      </c>
    </row>
    <row r="43" spans="1:13" x14ac:dyDescent="0.25">
      <c r="A43" s="23" t="s">
        <v>139</v>
      </c>
      <c r="B43" t="s">
        <v>183</v>
      </c>
      <c r="C43" t="s">
        <v>51</v>
      </c>
      <c r="D43" t="s">
        <v>51</v>
      </c>
      <c r="E43" t="s">
        <v>51</v>
      </c>
      <c r="F43" t="s">
        <v>48</v>
      </c>
      <c r="G43" t="s">
        <v>51</v>
      </c>
      <c r="H43" s="1">
        <v>0</v>
      </c>
      <c r="I43" s="1">
        <f>0</f>
        <v>0</v>
      </c>
      <c r="J43" s="1">
        <v>0</v>
      </c>
      <c r="K43" s="1">
        <f>0</f>
        <v>0</v>
      </c>
      <c r="L43" s="1">
        <v>214.29</v>
      </c>
      <c r="M43" s="1">
        <f t="shared" si="0"/>
        <v>25.714799999999997</v>
      </c>
    </row>
    <row r="44" spans="1:13" x14ac:dyDescent="0.25">
      <c r="A44" s="23" t="s">
        <v>76</v>
      </c>
      <c r="B44" t="s">
        <v>78</v>
      </c>
      <c r="C44" t="s">
        <v>51</v>
      </c>
      <c r="D44" t="s">
        <v>51</v>
      </c>
      <c r="E44" t="s">
        <v>51</v>
      </c>
      <c r="F44" t="s">
        <v>108</v>
      </c>
      <c r="G44" t="s">
        <v>51</v>
      </c>
      <c r="H44" s="1">
        <v>0</v>
      </c>
      <c r="I44" s="1">
        <f>0</f>
        <v>0</v>
      </c>
      <c r="J44" s="1">
        <v>0</v>
      </c>
      <c r="K44" s="1">
        <f>0</f>
        <v>0</v>
      </c>
      <c r="L44" s="1">
        <v>5857.15</v>
      </c>
      <c r="M44" s="1">
        <f t="shared" si="0"/>
        <v>702.85799999999995</v>
      </c>
    </row>
    <row r="45" spans="1:13" x14ac:dyDescent="0.25">
      <c r="A45" s="23" t="s">
        <v>140</v>
      </c>
      <c r="B45" t="s">
        <v>154</v>
      </c>
      <c r="C45" t="s">
        <v>51</v>
      </c>
      <c r="D45" t="s">
        <v>51</v>
      </c>
      <c r="E45" t="s">
        <v>51</v>
      </c>
      <c r="F45" t="s">
        <v>171</v>
      </c>
      <c r="G45" t="s">
        <v>51</v>
      </c>
      <c r="H45" s="1">
        <v>0</v>
      </c>
      <c r="I45" s="1">
        <f>0</f>
        <v>0</v>
      </c>
      <c r="J45" s="1">
        <v>0</v>
      </c>
      <c r="K45" s="1">
        <f>0</f>
        <v>0</v>
      </c>
      <c r="L45" s="1">
        <v>151.79</v>
      </c>
      <c r="M45" s="1">
        <f t="shared" si="0"/>
        <v>18.214799999999997</v>
      </c>
    </row>
    <row r="46" spans="1:13" x14ac:dyDescent="0.25">
      <c r="A46" s="23" t="s">
        <v>141</v>
      </c>
      <c r="B46" t="s">
        <v>155</v>
      </c>
      <c r="C46" t="s">
        <v>51</v>
      </c>
      <c r="D46" t="s">
        <v>51</v>
      </c>
      <c r="E46" t="s">
        <v>51</v>
      </c>
      <c r="F46" t="s">
        <v>181</v>
      </c>
      <c r="G46" t="s">
        <v>51</v>
      </c>
      <c r="H46" s="1">
        <v>0</v>
      </c>
      <c r="I46" s="1">
        <f>0</f>
        <v>0</v>
      </c>
      <c r="J46" s="1">
        <v>0</v>
      </c>
      <c r="K46" s="1">
        <f>0</f>
        <v>0</v>
      </c>
      <c r="L46" s="1">
        <v>895.09</v>
      </c>
      <c r="M46" s="1">
        <f t="shared" si="0"/>
        <v>107.41079999999999</v>
      </c>
    </row>
    <row r="47" spans="1:13" x14ac:dyDescent="0.25">
      <c r="A47" s="23" t="s">
        <v>91</v>
      </c>
      <c r="B47" t="s">
        <v>99</v>
      </c>
      <c r="C47" t="s">
        <v>51</v>
      </c>
      <c r="D47" t="s">
        <v>51</v>
      </c>
      <c r="E47" t="s">
        <v>51</v>
      </c>
      <c r="F47" t="s">
        <v>118</v>
      </c>
      <c r="G47" t="s">
        <v>51</v>
      </c>
      <c r="H47" s="1">
        <v>0</v>
      </c>
      <c r="I47" s="1">
        <f>0</f>
        <v>0</v>
      </c>
      <c r="J47" s="1">
        <v>0</v>
      </c>
      <c r="K47" s="1">
        <f>0</f>
        <v>0</v>
      </c>
      <c r="L47" s="1">
        <v>160.71</v>
      </c>
      <c r="M47" s="1">
        <f t="shared" si="0"/>
        <v>19.2852</v>
      </c>
    </row>
    <row r="48" spans="1:13" x14ac:dyDescent="0.25">
      <c r="A48" s="23" t="s">
        <v>63</v>
      </c>
      <c r="B48" t="s">
        <v>114</v>
      </c>
      <c r="C48" t="s">
        <v>51</v>
      </c>
      <c r="D48" t="s">
        <v>51</v>
      </c>
      <c r="E48" t="s">
        <v>51</v>
      </c>
      <c r="F48" t="s">
        <v>73</v>
      </c>
      <c r="G48" t="s">
        <v>51</v>
      </c>
      <c r="H48" s="1">
        <v>0</v>
      </c>
      <c r="I48" s="1">
        <f>0</f>
        <v>0</v>
      </c>
      <c r="J48" s="1">
        <v>0</v>
      </c>
      <c r="K48" s="1">
        <f>0</f>
        <v>0</v>
      </c>
      <c r="L48" s="1">
        <v>3696.43</v>
      </c>
      <c r="M48" s="1">
        <f t="shared" si="0"/>
        <v>443.57159999999999</v>
      </c>
    </row>
    <row r="49" spans="1:13" x14ac:dyDescent="0.25">
      <c r="A49" s="23" t="s">
        <v>64</v>
      </c>
      <c r="B49" t="s">
        <v>116</v>
      </c>
      <c r="C49" t="s">
        <v>51</v>
      </c>
      <c r="D49" t="s">
        <v>51</v>
      </c>
      <c r="E49" t="s">
        <v>51</v>
      </c>
      <c r="F49" t="s">
        <v>105</v>
      </c>
      <c r="G49" t="s">
        <v>51</v>
      </c>
      <c r="H49" s="1">
        <v>0</v>
      </c>
      <c r="I49" s="1">
        <f>0</f>
        <v>0</v>
      </c>
      <c r="J49" s="1">
        <v>0</v>
      </c>
      <c r="K49" s="1">
        <f>0</f>
        <v>0</v>
      </c>
      <c r="L49" s="1">
        <v>23299.32</v>
      </c>
      <c r="M49" s="1">
        <f t="shared" si="0"/>
        <v>2795.9184</v>
      </c>
    </row>
    <row r="50" spans="1:13" x14ac:dyDescent="0.25">
      <c r="A50" s="23" t="s">
        <v>54</v>
      </c>
      <c r="B50" t="s">
        <v>43</v>
      </c>
      <c r="C50" t="s">
        <v>51</v>
      </c>
      <c r="D50" t="s">
        <v>51</v>
      </c>
      <c r="E50" t="s">
        <v>51</v>
      </c>
      <c r="F50" t="s">
        <v>105</v>
      </c>
      <c r="G50" t="s">
        <v>51</v>
      </c>
      <c r="H50" s="1">
        <v>0</v>
      </c>
      <c r="I50" s="1">
        <f>0</f>
        <v>0</v>
      </c>
      <c r="J50" s="1">
        <v>0</v>
      </c>
      <c r="K50" s="1">
        <f>0</f>
        <v>0</v>
      </c>
      <c r="L50" s="1">
        <v>81361.62999999999</v>
      </c>
      <c r="M50" s="1">
        <f t="shared" si="0"/>
        <v>9763.395599999998</v>
      </c>
    </row>
    <row r="51" spans="1:13" x14ac:dyDescent="0.25">
      <c r="A51" s="23" t="s">
        <v>142</v>
      </c>
      <c r="B51" t="s">
        <v>166</v>
      </c>
      <c r="C51" t="s">
        <v>51</v>
      </c>
      <c r="D51" t="s">
        <v>51</v>
      </c>
      <c r="E51" t="s">
        <v>51</v>
      </c>
      <c r="F51" t="s">
        <v>158</v>
      </c>
      <c r="G51" t="s">
        <v>51</v>
      </c>
      <c r="H51" s="1">
        <v>0</v>
      </c>
      <c r="I51" s="1">
        <f>0</f>
        <v>0</v>
      </c>
      <c r="J51" s="1">
        <v>0</v>
      </c>
      <c r="K51" s="1">
        <f>0</f>
        <v>0</v>
      </c>
      <c r="L51" s="1">
        <v>321.43</v>
      </c>
      <c r="M51" s="1">
        <f t="shared" si="0"/>
        <v>38.571599999999997</v>
      </c>
    </row>
    <row r="52" spans="1:13" x14ac:dyDescent="0.25">
      <c r="A52" s="23" t="s">
        <v>92</v>
      </c>
      <c r="B52" t="s">
        <v>100</v>
      </c>
      <c r="C52" t="s">
        <v>51</v>
      </c>
      <c r="D52" t="s">
        <v>51</v>
      </c>
      <c r="E52" t="s">
        <v>51</v>
      </c>
      <c r="F52" t="s">
        <v>79</v>
      </c>
      <c r="G52" t="s">
        <v>51</v>
      </c>
      <c r="H52" s="1">
        <v>0</v>
      </c>
      <c r="I52" s="1">
        <f>0</f>
        <v>0</v>
      </c>
      <c r="J52" s="1">
        <v>0</v>
      </c>
      <c r="K52" s="1">
        <f>0</f>
        <v>0</v>
      </c>
      <c r="L52" s="1">
        <v>1517.86</v>
      </c>
      <c r="M52" s="1">
        <f t="shared" si="0"/>
        <v>182.14319999999998</v>
      </c>
    </row>
    <row r="53" spans="1:13" x14ac:dyDescent="0.25">
      <c r="A53" s="23" t="s">
        <v>143</v>
      </c>
      <c r="B53" t="s">
        <v>156</v>
      </c>
      <c r="C53" t="s">
        <v>51</v>
      </c>
      <c r="D53" t="s">
        <v>51</v>
      </c>
      <c r="E53" t="s">
        <v>51</v>
      </c>
      <c r="F53">
        <v>0</v>
      </c>
      <c r="G53" t="s">
        <v>51</v>
      </c>
      <c r="H53" s="1">
        <v>0</v>
      </c>
      <c r="I53" s="1">
        <f>0</f>
        <v>0</v>
      </c>
      <c r="J53" s="1">
        <v>0</v>
      </c>
      <c r="K53" s="1">
        <f>0</f>
        <v>0</v>
      </c>
      <c r="L53" s="1">
        <v>52500</v>
      </c>
      <c r="M53" s="1">
        <f t="shared" si="0"/>
        <v>6300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18"/>
  <sheetViews>
    <sheetView showGridLines="0" showRowColHeaders="0" workbookViewId="0">
      <selection activeCell="E19" sqref="E19"/>
    </sheetView>
  </sheetViews>
  <sheetFormatPr defaultRowHeight="15" x14ac:dyDescent="0.25"/>
  <sheetData>
    <row r="11" spans="4:5" ht="28.5" x14ac:dyDescent="0.45">
      <c r="D11" s="19" t="s">
        <v>33</v>
      </c>
    </row>
    <row r="14" spans="4:5" x14ac:dyDescent="0.25">
      <c r="D14" t="s">
        <v>34</v>
      </c>
      <c r="E14" t="s">
        <v>36</v>
      </c>
    </row>
    <row r="15" spans="4:5" x14ac:dyDescent="0.25">
      <c r="D15" t="s">
        <v>35</v>
      </c>
      <c r="E15" t="s">
        <v>80</v>
      </c>
    </row>
    <row r="16" spans="4:5" x14ac:dyDescent="0.25">
      <c r="D16" t="s">
        <v>37</v>
      </c>
      <c r="E16" t="s">
        <v>81</v>
      </c>
    </row>
    <row r="17" spans="4:5" x14ac:dyDescent="0.25">
      <c r="D17" t="s">
        <v>58</v>
      </c>
      <c r="E17" t="s">
        <v>59</v>
      </c>
    </row>
    <row r="18" spans="4:5" x14ac:dyDescent="0.25">
      <c r="D18" t="s">
        <v>188</v>
      </c>
      <c r="E18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2021-07-23T00:56:41Z</dcterms:modified>
</cp:coreProperties>
</file>
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xr:revisionPtr revIDLastSave="0" documentId="13_ncr:1_{2FDE56BE-1DB4-41B3-8487-25A4AAA6999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ROFILE" sheetId="2" r:id="rId1"/>
    <sheet name="DATA" sheetId="1" r:id="rId2"/>
    <sheet name="RULES!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J4" i="1"/>
  <c r="K4" i="1"/>
  <c r="M4" i="1" s="1"/>
  <c r="H3" i="1"/>
  <c r="I3" i="1"/>
  <c r="K3" i="1"/>
  <c r="M3" i="1" s="1"/>
  <c r="H2" i="1"/>
  <c r="I2" i="1"/>
  <c r="J2" i="1"/>
  <c r="K2" i="1"/>
  <c r="M2" i="1" s="1"/>
  <c r="B26" i="2" l="1"/>
  <c r="B22" i="2" l="1"/>
  <c r="B21" i="2"/>
  <c r="B20" i="2"/>
  <c r="B19" i="2"/>
  <c r="B18" i="2"/>
  <c r="B23" i="2" l="1"/>
  <c r="B24" i="2" s="1"/>
  <c r="B25" i="2" s="1"/>
</calcChain>
</file>

<file path=xl/sharedStrings.xml><?xml version="1.0" encoding="utf-8"?>
<sst xmlns="http://schemas.openxmlformats.org/spreadsheetml/2006/main" count="83" uniqueCount="82">
  <si>
    <t>TIN OF SUPPLIER</t>
  </si>
  <si>
    <t>SUPPLIER NAME</t>
  </si>
  <si>
    <t>FIRST NAME</t>
  </si>
  <si>
    <t>MIDDLE NAME</t>
  </si>
  <si>
    <t>LAST NAME</t>
  </si>
  <si>
    <t>ADDRESS 1</t>
  </si>
  <si>
    <t>ADDRESS 2</t>
  </si>
  <si>
    <t>EXEMPT</t>
  </si>
  <si>
    <t>SERVICES</t>
  </si>
  <si>
    <t>CAPITAL GOODS</t>
  </si>
  <si>
    <t>GOODS</t>
  </si>
  <si>
    <t>VAT AMOUNT</t>
  </si>
  <si>
    <t>Corporate Name</t>
  </si>
  <si>
    <t>Last Name</t>
  </si>
  <si>
    <t>First Name</t>
  </si>
  <si>
    <t>Middle Name</t>
  </si>
  <si>
    <t>Trade Name</t>
  </si>
  <si>
    <t>Address2</t>
  </si>
  <si>
    <t>Exempt</t>
  </si>
  <si>
    <t>Zero-rated</t>
  </si>
  <si>
    <t>Services</t>
  </si>
  <si>
    <t>Capital Goods</t>
  </si>
  <si>
    <t>Goods</t>
  </si>
  <si>
    <t>Input VAT</t>
  </si>
  <si>
    <t>Creditable</t>
  </si>
  <si>
    <t>Non-Creditable</t>
  </si>
  <si>
    <t>TAXPAYER DETAILS</t>
  </si>
  <si>
    <t>SUMMARY OF DATA</t>
  </si>
  <si>
    <t>RDO Code</t>
  </si>
  <si>
    <t>RULES</t>
  </si>
  <si>
    <t>1.)</t>
  </si>
  <si>
    <t>2.)</t>
  </si>
  <si>
    <t>3.)</t>
  </si>
  <si>
    <t>ZERORATED</t>
  </si>
  <si>
    <t>In DATA sheet, there should never be a BLANK row because any records following the blank row will not be included in the DAT file.</t>
  </si>
  <si>
    <t>Number of Records</t>
  </si>
  <si>
    <t>STEPS</t>
  </si>
  <si>
    <t>Step 1:</t>
  </si>
  <si>
    <t>Step 2:</t>
  </si>
  <si>
    <t>Step 3:</t>
  </si>
  <si>
    <t>Step 4:</t>
  </si>
  <si>
    <t>Step 5:</t>
  </si>
  <si>
    <t>Step 6:</t>
  </si>
  <si>
    <t>Step 7:</t>
  </si>
  <si>
    <t>Step 8:</t>
  </si>
  <si>
    <t>TIPS</t>
  </si>
  <si>
    <t>You can reuse this excel file for the succeeding periods (just replace the period and DATA) so you won’t need to fill up the PROFILE again.</t>
  </si>
  <si>
    <t>TIN</t>
  </si>
  <si>
    <t>You can click the CLEAR DATA button in the PROFILE sheet to start fresh.</t>
  </si>
  <si>
    <t>Fill out PROFILE sheet, use capital letters only.</t>
  </si>
  <si>
    <t>Enable Macros to use the button commands.</t>
  </si>
  <si>
    <t>Fill out DATA in accordance with the column names.</t>
  </si>
  <si>
    <t>Click CLEAN SPECIAL CHARACTERS button in PROFILE to automatically remove disallowed characters in DAT validation.</t>
  </si>
  <si>
    <t>Check totals.</t>
  </si>
  <si>
    <t>Validate DAT file using BIR Relief 2.3 to detect unknown errors, review the excel file if necessary.</t>
  </si>
  <si>
    <t>If validation is successful, the DAT file is ready for submission to esubmission@bir.gov.ph.</t>
  </si>
  <si>
    <r>
      <t xml:space="preserve">Never insert or delete </t>
    </r>
    <r>
      <rPr>
        <b/>
        <sz val="11"/>
        <color theme="1"/>
        <rFont val="Calibri"/>
        <family val="2"/>
        <scheme val="minor"/>
      </rPr>
      <t>rows</t>
    </r>
    <r>
      <rPr>
        <sz val="11"/>
        <color theme="1"/>
        <rFont val="Calibri"/>
        <family val="2"/>
        <scheme val="minor"/>
      </rPr>
      <t xml:space="preserve"> in PROFILE and DATA sheets.</t>
    </r>
  </si>
  <si>
    <t>Either fill only the Registered Name or the Individual Name in DATA sheet, never fill both.</t>
  </si>
  <si>
    <t>4.)</t>
  </si>
  <si>
    <t>TIN Format should be 123-456-789 or 123456789. Both are fine as long as branch code is not included. You can use CLEAN SPECIAL CHARACTERS to auto-remove branch code.</t>
  </si>
  <si>
    <t>x</t>
  </si>
  <si>
    <t>ABC COMPANY</t>
  </si>
  <si>
    <t>BRGY KANTO</t>
  </si>
  <si>
    <t>SATABI-TABI CITY</t>
  </si>
  <si>
    <t>DELA CRUZ</t>
  </si>
  <si>
    <t>JUAN</t>
  </si>
  <si>
    <t>A</t>
  </si>
  <si>
    <t>MAKATI CITY</t>
  </si>
  <si>
    <t>000-111-222</t>
  </si>
  <si>
    <t>XYZ CORPORATION</t>
  </si>
  <si>
    <t>987-654-321</t>
  </si>
  <si>
    <t>Dragon Street</t>
  </si>
  <si>
    <t>BuLacan</t>
  </si>
  <si>
    <t>Address1</t>
  </si>
  <si>
    <t>Month</t>
  </si>
  <si>
    <t>Year</t>
  </si>
  <si>
    <t>Save workbook and upload to www.accountingmage.com to receive the DAT file.</t>
  </si>
  <si>
    <t>(January - 1, February - 2, etc.)</t>
  </si>
  <si>
    <t>001-002-003</t>
  </si>
  <si>
    <t>DUMMY COMPANY INC</t>
  </si>
  <si>
    <t>MAKATI CITY NCR</t>
  </si>
  <si>
    <t>ROOM 123 BLDG 456 SALCEDO VILLAGE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</si>
</sst>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00000000"/>
    <numFmt numFmtId="165" formatCode="000\-000\-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43" fontId="0" fillId="0" borderId="0" xfId="1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18" fillId="0" borderId="0" xfId="0" applyFont="1" applyAlignment="1">
      <alignment horizontal="left"/>
    </xf>
    <xf numFmtId="0" fontId="19" fillId="0" borderId="0" xfId="0" applyFont="1"/>
    <xf numFmtId="0" fontId="0" fillId="0" borderId="11" xfId="0" applyBorder="1" applyAlignment="1" applyProtection="1">
      <alignment horizontal="left"/>
      <protection locked="0"/>
    </xf>
    <xf numFmtId="165" fontId="0" fillId="0" borderId="0" xfId="0" applyNumberFormat="1" applyAlignment="1">
      <alignment horizontal="left"/>
    </xf>
    <xf numFmtId="165" fontId="20" fillId="0" borderId="10" xfId="0" applyNumberFormat="1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43" fontId="20" fillId="0" borderId="10" xfId="1" applyFont="1" applyFill="1" applyBorder="1" applyAlignment="1">
      <alignment horizontal="center" vertical="center" wrapText="1"/>
    </xf>
    <xf numFmtId="0" fontId="21" fillId="0" borderId="0" xfId="0" applyFont="1" applyFill="1" applyAlignment="1">
      <alignment horizontal="center"/>
    </xf>
    <xf numFmtId="0" fontId="22" fillId="0" borderId="0" xfId="0" applyFont="1"/>
    <xf numFmtId="43" fontId="10" fillId="6" borderId="5" xfId="11" applyNumberFormat="1" applyAlignment="1">
      <alignment horizontal="left"/>
    </xf>
    <xf numFmtId="0" fontId="23" fillId="0" borderId="0" xfId="0" applyFont="1" applyBorder="1" applyAlignment="1">
      <alignment horizontal="left"/>
    </xf>
    <xf numFmtId="43" fontId="0" fillId="0" borderId="0" xfId="1" applyNumberFormat="1" applyFont="1"/>
    <xf numFmtId="0" fontId="26" fillId="0" borderId="0" xfId="0" applyFont="1" applyBorder="1" applyAlignment="1">
      <alignment horizontal="left"/>
    </xf>
    <xf numFmtId="164" fontId="0" fillId="0" borderId="11" xfId="0" applyNumberFormat="1" applyBorder="1" applyAlignment="1" applyProtection="1">
      <alignment horizontal="left" vertical="top" wrapText="1"/>
      <protection locked="0"/>
    </xf>
    <xf numFmtId="0" fontId="0" fillId="0" borderId="11" xfId="0" applyBorder="1" applyAlignment="1" applyProtection="1">
      <alignment horizontal="left" vertical="top"/>
      <protection locked="0"/>
    </xf>
    <xf numFmtId="0" fontId="0" fillId="0" borderId="11" xfId="0" applyBorder="1" applyAlignment="1" applyProtection="1">
      <alignment horizontal="left" vertical="top" wrapText="1"/>
      <protection locked="0"/>
    </xf>
    <xf numFmtId="0" fontId="0" fillId="0" borderId="11" xfId="0" applyBorder="1" applyAlignment="1">
      <alignment horizontal="left"/>
    </xf>
    <xf numFmtId="0" fontId="17" fillId="0" borderId="0" xfId="0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165" formatCode="000\-000\-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0</xdr:row>
          <xdr:rowOff>76200</xdr:rowOff>
        </xdr:from>
        <xdr:to>
          <xdr:col>5</xdr:col>
          <xdr:colOff>1950720</xdr:colOff>
          <xdr:row>2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SPECIAL CHARACTERS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</xdr:colOff>
          <xdr:row>3</xdr:row>
          <xdr:rowOff>30480</xdr:rowOff>
        </xdr:from>
        <xdr:to>
          <xdr:col>5</xdr:col>
          <xdr:colOff>1965960</xdr:colOff>
          <xdr:row>5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1BF85E-741E-469B-BF15-6F185535ECB6}" name="Table1" displayName="Table1" ref="A1:M4" totalsRowShown="0" headerRowDxfId="9" dataDxfId="7" headerRowBorderDxfId="8" headerRowCellStyle="Comma" dataCellStyle="Comma">
  <autoFilter ref="A1:M4" xr:uid="{20968658-B9B3-4E5E-B6B9-2AD942D00414}"/>
  <tableColumns count="13">
    <tableColumn id="1" xr3:uid="{13E70B4B-1BFE-49A9-A0DB-92D0225F62A2}" name="TIN OF SUPPLIER" dataDxfId="6"/>
    <tableColumn id="2" xr3:uid="{57553F20-0BCF-4206-841D-8F6927C7F493}" name="SUPPLIER NAME"/>
    <tableColumn id="3" xr3:uid="{95E9056D-333E-4707-A916-E4430D5EAD8C}" name="LAST NAME"/>
    <tableColumn id="4" xr3:uid="{A5729F26-28CC-445F-95FD-E47F9510E1F4}" name="FIRST NAME"/>
    <tableColumn id="5" xr3:uid="{C3FBF726-FE5D-4BC0-AF31-7DF058504B02}" name="MIDDLE NAME"/>
    <tableColumn id="6" xr3:uid="{68EEC63A-50B7-4449-985B-974C28A444D2}" name="ADDRESS 1"/>
    <tableColumn id="7" xr3:uid="{28C5BAAF-6975-400E-AEE9-22F259075C04}" name="ADDRESS 2"/>
    <tableColumn id="8" xr3:uid="{1D79C857-D877-48EE-99B9-4CC78366359B}" name="EXEMPT" dataDxfId="5" dataCellStyle="Comma">
      <calculatedColumnFormula>0</calculatedColumnFormula>
    </tableColumn>
    <tableColumn id="9" xr3:uid="{02CAF303-B859-47EE-9435-96F530CC3D8A}" name="ZERORATED" dataDxfId="4" dataCellStyle="Comma">
      <calculatedColumnFormula>0</calculatedColumnFormula>
    </tableColumn>
    <tableColumn id="10" xr3:uid="{FC665E10-77D1-4FE1-BE2B-5FC79C5B6B76}" name="SERVICES" dataDxfId="3" dataCellStyle="Comma">
      <calculatedColumnFormula>0</calculatedColumnFormula>
    </tableColumn>
    <tableColumn id="11" xr3:uid="{56799ABC-BF89-4F38-8085-E9C3D7D9CF47}" name="CAPITAL GOODS" dataDxfId="2" dataCellStyle="Comma">
      <calculatedColumnFormula>0</calculatedColumnFormula>
    </tableColumn>
    <tableColumn id="12" xr3:uid="{724FD9CA-D41F-42B5-9DE9-E3A4ADD7EF74}" name="GOODS" dataDxfId="1" dataCellStyle="Comma"/>
    <tableColumn id="13" xr3:uid="{59828DD8-49CF-4F6B-9F1F-F7414B96E1EC}" name="VAT AMOUNT" dataDxfId="0" dataCellStyle="Comma">
      <calculatedColumnFormula>+(L2+K2+J2)*0.12</calculatedColumnFormula>
    </tableColumn>
  </tableColumns>
  <tableStyleInfo name="TableStyleMedium1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"/>
  <sheetViews>
    <sheetView showGridLines="0" tabSelected="1" zoomScale="130" zoomScaleNormal="130" workbookViewId="0">
      <selection activeCell="B16" sqref="B16"/>
    </sheetView>
  </sheetViews>
  <sheetFormatPr defaultRowHeight="14.4" x14ac:dyDescent="0.3"/>
  <cols>
    <col min="1" max="1" width="29.109375" customWidth="1"/>
    <col min="2" max="2" width="50.109375" customWidth="1"/>
    <col min="3" max="5" width="14.5546875" customWidth="1"/>
    <col min="6" max="8" width="29.44140625" customWidth="1"/>
    <col min="9" max="9" width="13.33203125" bestFit="1" customWidth="1"/>
    <col min="10" max="10" width="12" bestFit="1" customWidth="1"/>
    <col min="11" max="11" width="10.5546875" bestFit="1" customWidth="1"/>
    <col min="12" max="12" width="15.33203125" bestFit="1" customWidth="1"/>
    <col min="13" max="13" width="14.33203125" bestFit="1" customWidth="1"/>
    <col min="14" max="14" width="13.33203125" bestFit="1" customWidth="1"/>
    <col min="15" max="15" width="17.5546875" bestFit="1" customWidth="1"/>
    <col min="16" max="16" width="16.33203125" bestFit="1" customWidth="1"/>
    <col min="17" max="17" width="10.109375" bestFit="1" customWidth="1"/>
    <col min="18" max="18" width="9.6640625" bestFit="1" customWidth="1"/>
    <col min="19" max="19" width="10.44140625" bestFit="1" customWidth="1"/>
  </cols>
  <sheetData>
    <row r="1" spans="1:6" x14ac:dyDescent="0.3">
      <c r="A1" s="6" t="s">
        <v>28</v>
      </c>
      <c r="B1" s="7">
        <v>19</v>
      </c>
    </row>
    <row r="2" spans="1:6" x14ac:dyDescent="0.3">
      <c r="A2" s="6" t="s">
        <v>74</v>
      </c>
      <c r="B2" s="21">
        <v>7</v>
      </c>
      <c r="C2" s="17" t="s">
        <v>77</v>
      </c>
    </row>
    <row r="3" spans="1:6" x14ac:dyDescent="0.3">
      <c r="A3" s="6" t="s">
        <v>75</v>
      </c>
      <c r="B3" s="7">
        <v>2021</v>
      </c>
    </row>
    <row r="4" spans="1:6" x14ac:dyDescent="0.3">
      <c r="B4" s="3"/>
    </row>
    <row r="5" spans="1:6" x14ac:dyDescent="0.3">
      <c r="A5" s="2"/>
      <c r="B5" s="3"/>
      <c r="C5" s="4"/>
      <c r="D5" s="4"/>
      <c r="E5" s="4"/>
      <c r="F5" s="4"/>
    </row>
    <row r="6" spans="1:6" x14ac:dyDescent="0.3">
      <c r="A6" s="5" t="s">
        <v>26</v>
      </c>
      <c r="B6" s="15"/>
      <c r="C6" s="4"/>
      <c r="D6" s="4"/>
      <c r="E6" s="4"/>
      <c r="F6" s="4"/>
    </row>
    <row r="7" spans="1:6" x14ac:dyDescent="0.3">
      <c r="A7" s="2" t="s">
        <v>47</v>
      </c>
      <c r="B7" s="18" t="s">
        <v>78</v>
      </c>
      <c r="C7" s="4"/>
      <c r="D7" s="4"/>
      <c r="E7" s="4"/>
      <c r="F7" s="4"/>
    </row>
    <row r="8" spans="1:6" x14ac:dyDescent="0.3">
      <c r="A8" s="2" t="s">
        <v>12</v>
      </c>
      <c r="B8" s="19" t="s">
        <v>79</v>
      </c>
      <c r="C8" s="4"/>
      <c r="D8" s="4"/>
      <c r="E8" s="4"/>
      <c r="F8" s="4"/>
    </row>
    <row r="9" spans="1:6" x14ac:dyDescent="0.3">
      <c r="A9" s="2" t="s">
        <v>13</v>
      </c>
      <c r="B9" s="20"/>
      <c r="C9" s="4"/>
      <c r="D9" s="4"/>
      <c r="E9" s="4"/>
      <c r="F9" s="4"/>
    </row>
    <row r="10" spans="1:6" x14ac:dyDescent="0.3">
      <c r="A10" s="2" t="s">
        <v>14</v>
      </c>
      <c r="B10" s="20"/>
      <c r="C10" s="4"/>
      <c r="D10" s="4"/>
      <c r="E10" s="4"/>
      <c r="F10" s="4"/>
    </row>
    <row r="11" spans="1:6" x14ac:dyDescent="0.3">
      <c r="A11" s="2" t="s">
        <v>15</v>
      </c>
      <c r="B11" s="7"/>
      <c r="C11" s="4"/>
      <c r="D11" s="4"/>
      <c r="E11" s="4"/>
      <c r="F11" s="4"/>
    </row>
    <row r="12" spans="1:6" x14ac:dyDescent="0.3">
      <c r="A12" s="2" t="s">
        <v>16</v>
      </c>
      <c r="B12" s="7" t="s">
        <v>79</v>
      </c>
      <c r="C12" s="4"/>
      <c r="D12" s="4"/>
      <c r="E12" s="4"/>
      <c r="F12" s="4"/>
    </row>
    <row r="13" spans="1:6" x14ac:dyDescent="0.3">
      <c r="A13" s="2" t="s">
        <v>73</v>
      </c>
      <c r="B13" s="7" t="s">
        <v>81</v>
      </c>
      <c r="C13" s="4"/>
      <c r="D13" s="4"/>
      <c r="E13" s="4"/>
      <c r="F13" s="4"/>
    </row>
    <row r="14" spans="1:6" x14ac:dyDescent="0.3">
      <c r="A14" s="2" t="s">
        <v>17</v>
      </c>
      <c r="B14" s="7" t="s">
        <v>80</v>
      </c>
      <c r="C14" s="4"/>
      <c r="D14" s="4"/>
      <c r="E14" s="4"/>
      <c r="F14" s="4"/>
    </row>
    <row r="15" spans="1:6" x14ac:dyDescent="0.3">
      <c r="A15" s="2"/>
      <c r="B15" s="3"/>
      <c r="C15" s="4"/>
      <c r="D15" s="4"/>
      <c r="E15" s="4"/>
      <c r="F15" s="4"/>
    </row>
    <row r="16" spans="1:6" x14ac:dyDescent="0.3">
      <c r="A16" s="2"/>
      <c r="B16" s="3"/>
      <c r="C16" s="4"/>
      <c r="D16" s="4"/>
      <c r="E16" s="4"/>
      <c r="F16" s="4"/>
    </row>
    <row r="17" spans="1:6" x14ac:dyDescent="0.3">
      <c r="A17" s="5" t="s">
        <v>27</v>
      </c>
      <c r="B17" s="3"/>
      <c r="C17" s="4"/>
      <c r="D17" s="4"/>
      <c r="E17" s="4"/>
      <c r="F17" s="4"/>
    </row>
    <row r="18" spans="1:6" x14ac:dyDescent="0.3">
      <c r="A18" s="2" t="s">
        <v>18</v>
      </c>
      <c r="B18" s="14">
        <f>SUM(DATA!H:H)</f>
        <v>63210</v>
      </c>
      <c r="C18" s="4"/>
      <c r="D18" s="4"/>
      <c r="E18" s="4"/>
      <c r="F18" s="4"/>
    </row>
    <row r="19" spans="1:6" x14ac:dyDescent="0.3">
      <c r="A19" s="2" t="s">
        <v>19</v>
      </c>
      <c r="B19" s="14">
        <f>SUM(DATA!I:I)</f>
        <v>0</v>
      </c>
      <c r="C19" s="4"/>
      <c r="D19" s="4"/>
      <c r="E19" s="4"/>
      <c r="F19" s="4"/>
    </row>
    <row r="20" spans="1:6" x14ac:dyDescent="0.3">
      <c r="A20" s="2" t="s">
        <v>20</v>
      </c>
      <c r="B20" s="14">
        <f>SUM(DATA!J:J)</f>
        <v>1000</v>
      </c>
      <c r="C20" s="4"/>
      <c r="D20" s="4"/>
      <c r="E20" s="4"/>
      <c r="F20" s="4"/>
    </row>
    <row r="21" spans="1:6" x14ac:dyDescent="0.3">
      <c r="A21" s="2" t="s">
        <v>21</v>
      </c>
      <c r="B21" s="14">
        <f>SUM(DATA!K:K)</f>
        <v>0</v>
      </c>
      <c r="C21" s="4"/>
      <c r="D21" s="4"/>
      <c r="E21" s="4"/>
      <c r="F21" s="4"/>
    </row>
    <row r="22" spans="1:6" x14ac:dyDescent="0.3">
      <c r="A22" s="2" t="s">
        <v>22</v>
      </c>
      <c r="B22" s="14">
        <f>SUM(DATA!L:L)</f>
        <v>100000</v>
      </c>
      <c r="C22" s="4"/>
      <c r="D22" s="4"/>
      <c r="E22" s="4"/>
      <c r="F22" s="4"/>
    </row>
    <row r="23" spans="1:6" x14ac:dyDescent="0.3">
      <c r="A23" t="s">
        <v>23</v>
      </c>
      <c r="B23" s="14">
        <f>SUM(DATA!M:M)</f>
        <v>12120</v>
      </c>
      <c r="C23" s="4"/>
      <c r="D23" s="4"/>
      <c r="E23" s="4"/>
      <c r="F23" s="4"/>
    </row>
    <row r="24" spans="1:6" x14ac:dyDescent="0.3">
      <c r="A24" t="s">
        <v>24</v>
      </c>
      <c r="B24" s="14">
        <f>+B23</f>
        <v>12120</v>
      </c>
      <c r="C24" s="4"/>
      <c r="D24" s="4"/>
      <c r="E24" s="4"/>
      <c r="F24" s="4"/>
    </row>
    <row r="25" spans="1:6" x14ac:dyDescent="0.3">
      <c r="A25" t="s">
        <v>25</v>
      </c>
      <c r="B25" s="14">
        <f>+B23-B24</f>
        <v>0</v>
      </c>
      <c r="C25" s="4"/>
      <c r="D25" s="4"/>
      <c r="E25" s="4"/>
      <c r="F25" s="4"/>
    </row>
    <row r="26" spans="1:6" x14ac:dyDescent="0.3">
      <c r="A26" t="s">
        <v>35</v>
      </c>
      <c r="B26" s="14">
        <f>+COUNTA(DATA!A:A)-1</f>
        <v>3</v>
      </c>
      <c r="C26" s="4"/>
      <c r="D26" s="4"/>
      <c r="E26" s="4"/>
      <c r="F26" s="4"/>
    </row>
    <row r="27" spans="1:6" x14ac:dyDescent="0.3">
      <c r="B27" s="4"/>
      <c r="C27" s="4"/>
      <c r="D27" s="4"/>
      <c r="E27" s="4"/>
      <c r="F27" s="4"/>
    </row>
    <row r="28" spans="1:6" x14ac:dyDescent="0.3">
      <c r="B28" s="4"/>
      <c r="C28" s="4"/>
      <c r="D28" s="4"/>
      <c r="E28" s="4"/>
      <c r="F28" s="4"/>
    </row>
    <row r="29" spans="1:6" x14ac:dyDescent="0.3">
      <c r="B29" s="4"/>
      <c r="C29" s="4"/>
      <c r="D29" s="4"/>
      <c r="E29" s="4"/>
      <c r="F29" s="4"/>
    </row>
    <row r="30" spans="1:6" x14ac:dyDescent="0.3">
      <c r="B30" s="4"/>
      <c r="C30" s="4"/>
      <c r="D30" s="4"/>
      <c r="E30" s="4"/>
      <c r="F30" s="4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nSpecialChars">
                <anchor moveWithCells="1" sizeWithCells="1">
                  <from>
                    <xdr:col>5</xdr:col>
                    <xdr:colOff>160020</xdr:colOff>
                    <xdr:row>0</xdr:row>
                    <xdr:rowOff>76200</xdr:rowOff>
                  </from>
                  <to>
                    <xdr:col>5</xdr:col>
                    <xdr:colOff>1950720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dule1.ClearData">
                <anchor moveWithCells="1" sizeWithCells="1">
                  <from>
                    <xdr:col>5</xdr:col>
                    <xdr:colOff>175260</xdr:colOff>
                    <xdr:row>3</xdr:row>
                    <xdr:rowOff>30480</xdr:rowOff>
                  </from>
                  <to>
                    <xdr:col>5</xdr:col>
                    <xdr:colOff>1965960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4E3A82-0204-4C43-B02E-BFEDB198136E}">
          <x14:formula1>
            <xm:f>'RULES!'!$D$44:$D$55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4"/>
  <sheetViews>
    <sheetView zoomScaleNormal="100" workbookViewId="0">
      <selection activeCell="B10" sqref="B10"/>
    </sheetView>
  </sheetViews>
  <sheetFormatPr defaultRowHeight="14.4" x14ac:dyDescent="0.3"/>
  <cols>
    <col min="1" max="1" width="22.44140625" style="8" customWidth="1"/>
    <col min="2" max="2" width="57.44140625" customWidth="1"/>
    <col min="3" max="5" width="17.33203125" customWidth="1"/>
    <col min="6" max="6" width="57.44140625" customWidth="1"/>
    <col min="7" max="7" width="40.109375" customWidth="1"/>
    <col min="8" max="8" width="13.88671875" style="1" customWidth="1"/>
    <col min="9" max="9" width="14.33203125" style="1" customWidth="1"/>
    <col min="10" max="10" width="13.88671875" style="1" customWidth="1"/>
    <col min="11" max="11" width="18.33203125" style="1" customWidth="1"/>
    <col min="12" max="12" width="13.88671875" style="1" customWidth="1"/>
    <col min="13" max="13" width="16.44140625" style="1" customWidth="1"/>
  </cols>
  <sheetData>
    <row r="1" spans="1:13" s="12" customFormat="1" ht="35.25" customHeight="1" thickBot="1" x14ac:dyDescent="0.35">
      <c r="A1" s="9" t="s">
        <v>0</v>
      </c>
      <c r="B1" s="10" t="s">
        <v>1</v>
      </c>
      <c r="C1" s="10" t="s">
        <v>4</v>
      </c>
      <c r="D1" s="10" t="s">
        <v>2</v>
      </c>
      <c r="E1" s="10" t="s">
        <v>3</v>
      </c>
      <c r="F1" s="10" t="s">
        <v>5</v>
      </c>
      <c r="G1" s="10" t="s">
        <v>6</v>
      </c>
      <c r="H1" s="11" t="s">
        <v>7</v>
      </c>
      <c r="I1" s="11" t="s">
        <v>33</v>
      </c>
      <c r="J1" s="11" t="s">
        <v>8</v>
      </c>
      <c r="K1" s="11" t="s">
        <v>9</v>
      </c>
      <c r="L1" s="11" t="s">
        <v>10</v>
      </c>
      <c r="M1" s="11" t="s">
        <v>11</v>
      </c>
    </row>
    <row r="2" spans="1:13" x14ac:dyDescent="0.3">
      <c r="A2" s="8">
        <v>123123123</v>
      </c>
      <c r="B2" t="s">
        <v>61</v>
      </c>
      <c r="F2" t="s">
        <v>62</v>
      </c>
      <c r="G2" t="s">
        <v>63</v>
      </c>
      <c r="H2" s="16">
        <f>0</f>
        <v>0</v>
      </c>
      <c r="I2" s="16">
        <f>0</f>
        <v>0</v>
      </c>
      <c r="J2" s="16">
        <f>0</f>
        <v>0</v>
      </c>
      <c r="K2" s="16">
        <f>0</f>
        <v>0</v>
      </c>
      <c r="L2" s="16">
        <v>100000</v>
      </c>
      <c r="M2" s="16">
        <f t="shared" ref="M2" si="0">+(L2+K2+J2)*0.12</f>
        <v>12000</v>
      </c>
    </row>
    <row r="3" spans="1:13" x14ac:dyDescent="0.3">
      <c r="A3" s="8" t="s">
        <v>68</v>
      </c>
      <c r="C3" t="s">
        <v>64</v>
      </c>
      <c r="D3" t="s">
        <v>65</v>
      </c>
      <c r="E3" t="s">
        <v>66</v>
      </c>
      <c r="F3" t="s">
        <v>60</v>
      </c>
      <c r="G3" t="s">
        <v>67</v>
      </c>
      <c r="H3" s="16">
        <f>0</f>
        <v>0</v>
      </c>
      <c r="I3" s="16">
        <f>0</f>
        <v>0</v>
      </c>
      <c r="J3" s="16">
        <v>1000</v>
      </c>
      <c r="K3" s="16">
        <f>0</f>
        <v>0</v>
      </c>
      <c r="L3" s="16"/>
      <c r="M3" s="16">
        <f>+(L3+K3+J3)*0.12</f>
        <v>120</v>
      </c>
    </row>
    <row r="4" spans="1:13" x14ac:dyDescent="0.3">
      <c r="A4" s="8" t="s">
        <v>70</v>
      </c>
      <c r="B4" t="s">
        <v>69</v>
      </c>
      <c r="F4" t="s">
        <v>71</v>
      </c>
      <c r="G4" t="s">
        <v>72</v>
      </c>
      <c r="H4" s="16">
        <v>63210</v>
      </c>
      <c r="I4" s="16">
        <f>0</f>
        <v>0</v>
      </c>
      <c r="J4" s="16">
        <f>0</f>
        <v>0</v>
      </c>
      <c r="K4" s="16">
        <f>0</f>
        <v>0</v>
      </c>
      <c r="L4" s="16"/>
      <c r="M4" s="16">
        <f>+(L4+K4+J4)*0.12</f>
        <v>0</v>
      </c>
    </row>
  </sheetData>
  <phoneticPr fontId="25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1E17-F93E-4D4E-97D0-B19B02FF8AE2}">
  <sheetPr codeName="Sheet3">
    <tabColor theme="3"/>
  </sheetPr>
  <dimension ref="D11:E55"/>
  <sheetViews>
    <sheetView showGridLines="0" showRowColHeaders="0" topLeftCell="A30" workbookViewId="0">
      <selection activeCell="G38" sqref="G38"/>
    </sheetView>
  </sheetViews>
  <sheetFormatPr defaultRowHeight="14.4" x14ac:dyDescent="0.3"/>
  <sheetData>
    <row r="11" spans="4:5" ht="28.8" x14ac:dyDescent="0.55000000000000004">
      <c r="D11" s="13" t="s">
        <v>36</v>
      </c>
    </row>
    <row r="12" spans="4:5" x14ac:dyDescent="0.3">
      <c r="D12" t="s">
        <v>37</v>
      </c>
      <c r="E12" t="s">
        <v>49</v>
      </c>
    </row>
    <row r="13" spans="4:5" x14ac:dyDescent="0.3">
      <c r="D13" t="s">
        <v>38</v>
      </c>
      <c r="E13" t="s">
        <v>50</v>
      </c>
    </row>
    <row r="14" spans="4:5" x14ac:dyDescent="0.3">
      <c r="D14" t="s">
        <v>39</v>
      </c>
      <c r="E14" t="s">
        <v>51</v>
      </c>
    </row>
    <row r="15" spans="4:5" x14ac:dyDescent="0.3">
      <c r="D15" t="s">
        <v>40</v>
      </c>
      <c r="E15" t="s">
        <v>52</v>
      </c>
    </row>
    <row r="16" spans="4:5" x14ac:dyDescent="0.3">
      <c r="D16" t="s">
        <v>41</v>
      </c>
      <c r="E16" t="s">
        <v>53</v>
      </c>
    </row>
    <row r="17" spans="4:5" x14ac:dyDescent="0.3">
      <c r="D17" t="s">
        <v>42</v>
      </c>
      <c r="E17" t="s">
        <v>76</v>
      </c>
    </row>
    <row r="18" spans="4:5" x14ac:dyDescent="0.3">
      <c r="D18" t="s">
        <v>43</v>
      </c>
      <c r="E18" t="s">
        <v>54</v>
      </c>
    </row>
    <row r="19" spans="4:5" x14ac:dyDescent="0.3">
      <c r="D19" t="s">
        <v>44</v>
      </c>
      <c r="E19" t="s">
        <v>55</v>
      </c>
    </row>
    <row r="22" spans="4:5" ht="28.8" x14ac:dyDescent="0.55000000000000004">
      <c r="D22" s="13" t="s">
        <v>29</v>
      </c>
    </row>
    <row r="24" spans="4:5" x14ac:dyDescent="0.3">
      <c r="D24" t="s">
        <v>30</v>
      </c>
      <c r="E24" t="s">
        <v>56</v>
      </c>
    </row>
    <row r="25" spans="4:5" x14ac:dyDescent="0.3">
      <c r="D25" t="s">
        <v>31</v>
      </c>
      <c r="E25" t="s">
        <v>34</v>
      </c>
    </row>
    <row r="26" spans="4:5" x14ac:dyDescent="0.3">
      <c r="D26" t="s">
        <v>32</v>
      </c>
      <c r="E26" t="s">
        <v>57</v>
      </c>
    </row>
    <row r="27" spans="4:5" x14ac:dyDescent="0.3">
      <c r="D27" t="s">
        <v>58</v>
      </c>
      <c r="E27" t="s">
        <v>59</v>
      </c>
    </row>
    <row r="28" spans="4:5" ht="28.8" x14ac:dyDescent="0.55000000000000004">
      <c r="D28" s="13"/>
    </row>
    <row r="29" spans="4:5" ht="28.8" x14ac:dyDescent="0.55000000000000004">
      <c r="D29" s="13" t="s">
        <v>45</v>
      </c>
    </row>
    <row r="30" spans="4:5" x14ac:dyDescent="0.3">
      <c r="D30" t="s">
        <v>46</v>
      </c>
    </row>
    <row r="31" spans="4:5" x14ac:dyDescent="0.3">
      <c r="D31" t="s">
        <v>48</v>
      </c>
    </row>
    <row r="44" spans="4:4" x14ac:dyDescent="0.3">
      <c r="D44" s="22">
        <v>1</v>
      </c>
    </row>
    <row r="45" spans="4:4" x14ac:dyDescent="0.3">
      <c r="D45" s="22">
        <v>2</v>
      </c>
    </row>
    <row r="46" spans="4:4" x14ac:dyDescent="0.3">
      <c r="D46" s="22">
        <v>3</v>
      </c>
    </row>
    <row r="47" spans="4:4" x14ac:dyDescent="0.3">
      <c r="D47" s="22">
        <v>4</v>
      </c>
    </row>
    <row r="48" spans="4:4" x14ac:dyDescent="0.3">
      <c r="D48" s="22">
        <v>5</v>
      </c>
    </row>
    <row r="49" spans="4:4" x14ac:dyDescent="0.3">
      <c r="D49" s="22">
        <v>6</v>
      </c>
    </row>
    <row r="50" spans="4:4" x14ac:dyDescent="0.3">
      <c r="D50" s="22">
        <v>7</v>
      </c>
    </row>
    <row r="51" spans="4:4" x14ac:dyDescent="0.3">
      <c r="D51" s="22">
        <v>8</v>
      </c>
    </row>
    <row r="52" spans="4:4" x14ac:dyDescent="0.3">
      <c r="D52" s="22">
        <v>9</v>
      </c>
    </row>
    <row r="53" spans="4:4" x14ac:dyDescent="0.3">
      <c r="D53" s="22">
        <v>10</v>
      </c>
    </row>
    <row r="54" spans="4:4" x14ac:dyDescent="0.3">
      <c r="D54" s="22">
        <v>11</v>
      </c>
    </row>
    <row r="55" spans="4:4" x14ac:dyDescent="0.3">
      <c r="D55" s="22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PROFILE</vt:lpstr>
      <vt:lpstr>DATA</vt:lpstr>
      <vt:lpstr>RULES!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</dc:creator>
  <cp:lastModifiedBy>Administrator</cp:lastModifiedBy>
  <dcterms:created xsi:type="dcterms:W3CDTF">2020-10-25T04:57:48Z</dcterms:created>
  <dcterms:modified xsi:type="dcterms:W3CDTF">2022-01-25T04:29:09Z</dcterms:modified>
</cp:coreProperties>
</file>